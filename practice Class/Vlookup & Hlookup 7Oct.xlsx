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8_{B2605C2A-1C82-4601-BDB0-5677E796CDF9}" xr6:coauthVersionLast="47" xr6:coauthVersionMax="47" xr10:uidLastSave="{00000000-0000-0000-0000-000000000000}"/>
  <bookViews>
    <workbookView xWindow="-110" yWindow="-110" windowWidth="19420" windowHeight="11500" activeTab="1" xr2:uid="{C2BCABC6-8FBF-410F-B6FE-C6B4B2F79991}"/>
  </bookViews>
  <sheets>
    <sheet name="VLoopup" sheetId="1" r:id="rId1"/>
    <sheet name="Hlookup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4" l="1"/>
  <c r="V15" i="1"/>
  <c r="P25" i="1"/>
  <c r="P21" i="1"/>
  <c r="P20" i="1"/>
  <c r="P13" i="1"/>
  <c r="P10" i="1" a="1"/>
  <c r="P10" i="1" s="1"/>
  <c r="P7" i="1"/>
  <c r="P4" i="1"/>
  <c r="P14" i="1"/>
  <c r="P15" i="1"/>
  <c r="P16" i="1"/>
  <c r="P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<sst xmlns="http://schemas.openxmlformats.org/spreadsheetml/2006/main" count="240" uniqueCount="60">
  <si>
    <t>Order ID</t>
  </si>
  <si>
    <t>Customer ID</t>
  </si>
  <si>
    <t>Order Date</t>
  </si>
  <si>
    <t>City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</si>
  <si>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</si>
  <si>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</si>
  <si>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</si>
  <si>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</si>
  <si>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</si>
  <si>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</si>
  <si>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</si>
  <si>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</si>
  <si>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</si>
  <si>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</si>
  <si>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</si>
  <si>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</si>
  <si>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</si>
  <si>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</si>
  <si>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</si>
  <si>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</si>
  <si>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</si>
  <si>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Website</t>
  </si>
  <si>
    <t>Debit Card</t>
  </si>
  <si>
    <t>Sports</t>
  </si>
  <si>
    <t>Football</t>
  </si>
  <si>
    <t>BrandD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</si>
  <si>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</si>
  <si>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</si>
  <si>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</si>
  <si>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</si>
  <si>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</si>
  <si>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</si>
  <si>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</si>
  <si>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</si>
  <si>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Jacket</t>
  </si>
  <si>
    <t>Hyderabad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</si>
  <si>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</si>
  <si>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</si>
  <si>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</si>
  <si>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</si>
  <si>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</si>
  <si>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</si>
  <si>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</si>
  <si>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</si>
  <si>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</si>
  <si>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</si>
  <si>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</si>
  <si>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</si>
  <si>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Curtains</t>
  </si>
  <si>
    <t>Lipstick</t>
  </si>
  <si>
    <t>Books</t>
  </si>
  <si>
    <t>Fiction Novel</t>
  </si>
  <si>
    <t>Comics</t>
  </si>
  <si>
    <t>Perfume</t>
  </si>
  <si>
    <t>Marks</t>
  </si>
  <si>
    <t>Grade</t>
  </si>
  <si>
    <t>Fail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</si>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</sst>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1" fillId="2" borderId="4" xfId="0" applyFont="1" applyFill="1" applyBorder="1"/>
    <xf numFmtId="0" fontId="1" fillId="4" borderId="1" xfId="0" applyFont="1" applyFill="1" applyBorder="1"/>
    <xf numFmtId="0" fontId="0" fillId="2" borderId="1" xfId="0" applyFill="1" applyBorder="1"/>
    <xf numFmtId="0" fontId="0" fillId="3" borderId="1" xfId="0" applyFont="1" applyFill="1" applyBorder="1"/>
    <xf numFmtId="14" fontId="0" fillId="3" borderId="1" xfId="0" applyNumberFormat="1" applyFont="1" applyFill="1" applyBorder="1"/>
    <xf numFmtId="0" fontId="0" fillId="0" borderId="1" xfId="0" applyFont="1" applyBorder="1"/>
    <xf numFmtId="14" fontId="0" fillId="0" borderId="1" xfId="0" applyNumberFormat="1" applyFont="1" applyBorder="1"/>
  </cellXfs>
  <cellStyles count="1">
    <cellStyle name="Normal" xfId="0" builtinId="0"/>
  </cellStyles>
  <dxfs count="43"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369C0B-C0FF-4F2A-840D-28425CE78F63}" name="Table1" displayName="Table1" ref="A1:M31" totalsRowShown="0" headerRowDxfId="27" headerRowBorderDxfId="41" tableBorderDxfId="42" totalsRowBorderDxfId="40">
  <tableColumns count="13">
    <tableColumn id="1" xr3:uid="{2A1DA821-3FD8-4D79-98A2-69FBDB7F5E2B}" name="Order ID" dataDxfId="26"/>
    <tableColumn id="2" xr3:uid="{200FD7F0-BBB8-4C62-A21A-B320379ACDD9}" name="Customer ID" dataDxfId="39"/>
    <tableColumn id="3" xr3:uid="{25202382-0D01-41E5-BC82-88FDD441C4BC}" name="Order Date" dataDxfId="38"/>
    <tableColumn id="4" xr3:uid="{2EE711D3-532C-4CD4-B6A6-BA0051D11DCA}" name="City" dataDxfId="37"/>
    <tableColumn id="5" xr3:uid="{ECA98BA5-DE2C-4D5B-B058-3D2FACDC08C0}" name="Sales Channel" dataDxfId="36"/>
    <tableColumn id="6" xr3:uid="{4E47EAD1-85D3-4917-9091-A99EB709D098}" name="Payment Method" dataDxfId="35"/>
    <tableColumn id="7" xr3:uid="{23377F22-7F0C-4D68-B5A9-DE09CF22E75D}" name="Product Category" dataDxfId="34"/>
    <tableColumn id="8" xr3:uid="{CFA7F17B-739B-4E2B-A9F5-CBDE75DCFCB9}" name="Product Name" dataDxfId="33"/>
    <tableColumn id="9" xr3:uid="{343B3059-BCA4-4FC1-B245-459D8982C334}" name="Brand" dataDxfId="32"/>
    <tableColumn id="10" xr3:uid="{A9144234-76BA-48A7-96F3-65EA84BC46AC}" name="Units Sold" dataDxfId="31"/>
    <tableColumn id="11" xr3:uid="{6365DBEF-31A9-4417-8DD6-462880C2BBEA}" name="Unit Price" dataDxfId="30"/>
    <tableColumn id="12" xr3:uid="{49F8D8D3-1BA0-4E47-8112-857173D79377}" name="Discount %" dataDxfId="29"/>
    <tableColumn id="13" xr3:uid="{A1E03269-21AD-4ACD-A589-70742BAAD158}" name="Net Sales" dataDxfId="28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502A-C5B0-475D-9073-B85755224D1A}">
  <dimension ref="A1:V31"/>
  <sheetViews>
    <sheetView topLeftCell="D3" workbookViewId="0">
      <selection sqref="A1:E10"/>
    </sheetView>
  </sheetViews>
  <sheetFormatPr defaultRowHeight="14.5" x14ac:dyDescent="0.35"/>
  <cols>
    <col min="1" max="1" width="10" customWidth="1"/>
    <col min="2" max="2" width="13.26953125" customWidth="1"/>
    <col min="3" max="3" width="12.1796875" customWidth="1"/>
    <col min="4" max="4" width="9.453125" customWidth="1"/>
    <col min="5" max="5" width="14.26953125" customWidth="1"/>
    <col min="6" max="6" width="17.453125" customWidth="1"/>
    <col min="7" max="7" width="17.36328125" customWidth="1"/>
    <col min="8" max="8" width="14.81640625" customWidth="1"/>
    <col min="10" max="10" width="11.1796875" customWidth="1"/>
    <col min="11" max="11" width="10.90625" customWidth="1"/>
    <col min="12" max="12" width="12.08984375" customWidth="1"/>
    <col min="13" max="13" width="10.453125" customWidth="1"/>
    <col min="15" max="15" width="12.1796875" customWidth="1"/>
    <col min="16" max="16" width="9.90625" customWidth="1"/>
    <col min="17" max="17" width="12.36328125" customWidth="1"/>
    <col min="21" max="21" width="10.6328125" customWidth="1"/>
    <col min="22" max="22" width="10.90625" customWidth="1"/>
  </cols>
  <sheetData>
    <row r="1" spans="1:22" x14ac:dyDescent="0.35">
      <c r="A1" s="13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</row>
    <row r="2" spans="1:22" x14ac:dyDescent="0.35">
      <c r="A2" s="5">
        <v>10001</v>
      </c>
      <c r="B2" s="2">
        <v>1102</v>
      </c>
      <c r="C2" s="3">
        <v>45197</v>
      </c>
      <c r="D2" s="2" t="s">
        <v>13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7</v>
      </c>
      <c r="K2" s="2">
        <v>2843.87</v>
      </c>
      <c r="L2" s="2">
        <v>0</v>
      </c>
      <c r="M2" s="6">
        <v>19907.09</v>
      </c>
    </row>
    <row r="3" spans="1:22" x14ac:dyDescent="0.35">
      <c r="A3" s="5">
        <v>10002</v>
      </c>
      <c r="B3" s="2">
        <v>1435</v>
      </c>
      <c r="C3" s="3">
        <v>45199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>
        <v>9</v>
      </c>
      <c r="K3" s="2">
        <v>2525.23</v>
      </c>
      <c r="L3" s="2">
        <v>5</v>
      </c>
      <c r="M3" s="6">
        <v>21590.720000000001</v>
      </c>
      <c r="O3" s="4" t="s">
        <v>0</v>
      </c>
      <c r="P3" s="4" t="s">
        <v>12</v>
      </c>
    </row>
    <row r="4" spans="1:22" x14ac:dyDescent="0.35">
      <c r="A4" s="5">
        <v>10003</v>
      </c>
      <c r="B4" s="2">
        <v>1860</v>
      </c>
      <c r="C4" s="3">
        <v>45109</v>
      </c>
      <c r="D4" s="2" t="s">
        <v>13</v>
      </c>
      <c r="E4" s="2" t="s">
        <v>26</v>
      </c>
      <c r="F4" s="2" t="s">
        <v>22</v>
      </c>
      <c r="G4" s="2" t="s">
        <v>27</v>
      </c>
      <c r="H4" s="2" t="s">
        <v>28</v>
      </c>
      <c r="I4" s="2" t="s">
        <v>29</v>
      </c>
      <c r="J4" s="2">
        <v>6</v>
      </c>
      <c r="K4" s="2">
        <v>3474.34</v>
      </c>
      <c r="L4" s="2">
        <v>15</v>
      </c>
      <c r="M4" s="6">
        <v>17719.13</v>
      </c>
      <c r="O4" s="2">
        <v>10001</v>
      </c>
      <c r="P4" s="2">
        <f>VLOOKUP(O4,A1:M31,13,0)</f>
        <v>19907.09</v>
      </c>
    </row>
    <row r="5" spans="1:22" x14ac:dyDescent="0.35">
      <c r="A5" s="5">
        <v>10004</v>
      </c>
      <c r="B5" s="2">
        <v>1270</v>
      </c>
      <c r="C5" s="3">
        <v>45079</v>
      </c>
      <c r="D5" s="2" t="s">
        <v>30</v>
      </c>
      <c r="E5" s="2" t="s">
        <v>21</v>
      </c>
      <c r="F5" s="2" t="s">
        <v>31</v>
      </c>
      <c r="G5" s="2" t="s">
        <v>23</v>
      </c>
      <c r="H5" s="2" t="s">
        <v>32</v>
      </c>
      <c r="I5" s="2" t="s">
        <v>19</v>
      </c>
      <c r="J5" s="2">
        <v>1</v>
      </c>
      <c r="K5" s="2">
        <v>1008.79</v>
      </c>
      <c r="L5" s="2">
        <v>15</v>
      </c>
      <c r="M5" s="6">
        <v>857.47</v>
      </c>
    </row>
    <row r="6" spans="1:22" x14ac:dyDescent="0.35">
      <c r="A6" s="5">
        <v>10005</v>
      </c>
      <c r="B6" s="2">
        <v>1106</v>
      </c>
      <c r="C6" s="3">
        <v>45241</v>
      </c>
      <c r="D6" s="2" t="s">
        <v>33</v>
      </c>
      <c r="E6" s="2" t="s">
        <v>26</v>
      </c>
      <c r="F6" s="2" t="s">
        <v>16</v>
      </c>
      <c r="G6" s="2" t="s">
        <v>27</v>
      </c>
      <c r="H6" s="2" t="s">
        <v>34</v>
      </c>
      <c r="I6" s="2" t="s">
        <v>19</v>
      </c>
      <c r="J6" s="2">
        <v>7</v>
      </c>
      <c r="K6" s="2">
        <v>3511.47</v>
      </c>
      <c r="L6" s="2">
        <v>20</v>
      </c>
      <c r="M6" s="6">
        <v>19664.23</v>
      </c>
      <c r="O6" s="4" t="s">
        <v>1</v>
      </c>
      <c r="P6" s="4" t="s">
        <v>9</v>
      </c>
    </row>
    <row r="7" spans="1:22" x14ac:dyDescent="0.35">
      <c r="A7" s="5">
        <v>10006</v>
      </c>
      <c r="B7" s="2">
        <v>1071</v>
      </c>
      <c r="C7" s="3">
        <v>45260</v>
      </c>
      <c r="D7" s="2" t="s">
        <v>35</v>
      </c>
      <c r="E7" s="2" t="s">
        <v>21</v>
      </c>
      <c r="F7" s="2" t="s">
        <v>36</v>
      </c>
      <c r="G7" s="2" t="s">
        <v>17</v>
      </c>
      <c r="H7" s="2" t="s">
        <v>37</v>
      </c>
      <c r="I7" s="2" t="s">
        <v>29</v>
      </c>
      <c r="J7" s="2">
        <v>3</v>
      </c>
      <c r="K7" s="2">
        <v>3189.55</v>
      </c>
      <c r="L7" s="2">
        <v>10</v>
      </c>
      <c r="M7" s="6">
        <v>8611.7800000000007</v>
      </c>
      <c r="O7" s="2">
        <v>1102</v>
      </c>
      <c r="P7" s="2">
        <f>VLOOKUP(O7,B1:M31,9,0)</f>
        <v>7</v>
      </c>
    </row>
    <row r="8" spans="1:22" x14ac:dyDescent="0.35">
      <c r="A8" s="5">
        <v>10007</v>
      </c>
      <c r="B8" s="2">
        <v>1700</v>
      </c>
      <c r="C8" s="3">
        <v>45050</v>
      </c>
      <c r="D8" s="2" t="s">
        <v>30</v>
      </c>
      <c r="E8" s="2" t="s">
        <v>15</v>
      </c>
      <c r="F8" s="2" t="s">
        <v>38</v>
      </c>
      <c r="G8" s="2" t="s">
        <v>27</v>
      </c>
      <c r="H8" s="2" t="s">
        <v>28</v>
      </c>
      <c r="I8" s="2" t="s">
        <v>39</v>
      </c>
      <c r="J8" s="2">
        <v>5</v>
      </c>
      <c r="K8" s="2">
        <v>3030.42</v>
      </c>
      <c r="L8" s="2">
        <v>10</v>
      </c>
      <c r="M8" s="6">
        <v>13636.89</v>
      </c>
    </row>
    <row r="9" spans="1:22" x14ac:dyDescent="0.35">
      <c r="A9" s="5">
        <v>10008</v>
      </c>
      <c r="B9" s="2">
        <v>1020</v>
      </c>
      <c r="C9" s="3">
        <v>45040</v>
      </c>
      <c r="D9" s="2" t="s">
        <v>40</v>
      </c>
      <c r="E9" s="2" t="s">
        <v>21</v>
      </c>
      <c r="F9" s="2" t="s">
        <v>16</v>
      </c>
      <c r="G9" s="2" t="s">
        <v>27</v>
      </c>
      <c r="H9" s="2" t="s">
        <v>28</v>
      </c>
      <c r="I9" s="2" t="s">
        <v>41</v>
      </c>
      <c r="J9" s="2">
        <v>4</v>
      </c>
      <c r="K9" s="2">
        <v>2310.83</v>
      </c>
      <c r="L9" s="2">
        <v>10</v>
      </c>
      <c r="M9" s="6">
        <v>8318.99</v>
      </c>
      <c r="O9" s="1" t="s">
        <v>0</v>
      </c>
      <c r="P9" s="4" t="s">
        <v>3</v>
      </c>
      <c r="Q9" s="4" t="s">
        <v>7</v>
      </c>
      <c r="R9" s="4" t="s">
        <v>9</v>
      </c>
    </row>
    <row r="10" spans="1:22" x14ac:dyDescent="0.35">
      <c r="A10" s="5">
        <v>10009</v>
      </c>
      <c r="B10" s="2">
        <v>1614</v>
      </c>
      <c r="C10" s="3">
        <v>45204</v>
      </c>
      <c r="D10" s="2" t="s">
        <v>13</v>
      </c>
      <c r="E10" s="2" t="s">
        <v>21</v>
      </c>
      <c r="F10" s="2" t="s">
        <v>22</v>
      </c>
      <c r="G10" s="2" t="s">
        <v>27</v>
      </c>
      <c r="H10" s="2" t="s">
        <v>42</v>
      </c>
      <c r="I10" s="2" t="s">
        <v>25</v>
      </c>
      <c r="J10" s="2">
        <v>5</v>
      </c>
      <c r="K10" s="2">
        <v>1098.04</v>
      </c>
      <c r="L10" s="2">
        <v>15</v>
      </c>
      <c r="M10" s="6">
        <v>4666.67</v>
      </c>
      <c r="O10" s="2">
        <v>10001</v>
      </c>
      <c r="P10" s="2" t="str" cm="1">
        <f t="array" ref="P10:R10">VLOOKUP(O10,A1:M31,{4,8,10},0)</f>
        <v>Chennai</v>
      </c>
      <c r="Q10" s="2" t="str">
        <v>Mixer Grinder</v>
      </c>
      <c r="R10" s="2">
        <v>7</v>
      </c>
    </row>
    <row r="11" spans="1:22" x14ac:dyDescent="0.35">
      <c r="A11" s="5">
        <v>10010</v>
      </c>
      <c r="B11" s="2">
        <v>1121</v>
      </c>
      <c r="C11" s="3">
        <v>45139</v>
      </c>
      <c r="D11" s="2" t="s">
        <v>30</v>
      </c>
      <c r="E11" s="2" t="s">
        <v>21</v>
      </c>
      <c r="F11" s="2" t="s">
        <v>31</v>
      </c>
      <c r="G11" s="2" t="s">
        <v>43</v>
      </c>
      <c r="H11" s="2" t="s">
        <v>44</v>
      </c>
      <c r="I11" s="2" t="s">
        <v>41</v>
      </c>
      <c r="J11" s="2">
        <v>5</v>
      </c>
      <c r="K11" s="2">
        <v>1780.66</v>
      </c>
      <c r="L11" s="2">
        <v>20</v>
      </c>
      <c r="M11" s="6">
        <v>7122.64</v>
      </c>
    </row>
    <row r="12" spans="1:22" x14ac:dyDescent="0.35">
      <c r="A12" s="5">
        <v>10011</v>
      </c>
      <c r="B12" s="2">
        <v>1466</v>
      </c>
      <c r="C12" s="3">
        <v>45098</v>
      </c>
      <c r="D12" s="2" t="s">
        <v>30</v>
      </c>
      <c r="E12" s="2" t="s">
        <v>15</v>
      </c>
      <c r="F12" s="2" t="s">
        <v>31</v>
      </c>
      <c r="G12" s="2" t="s">
        <v>43</v>
      </c>
      <c r="H12" s="2" t="s">
        <v>44</v>
      </c>
      <c r="I12" s="2" t="s">
        <v>29</v>
      </c>
      <c r="J12" s="2">
        <v>6</v>
      </c>
      <c r="K12" s="2">
        <v>3205.25</v>
      </c>
      <c r="L12" s="2">
        <v>0</v>
      </c>
      <c r="M12" s="6">
        <v>19231.5</v>
      </c>
      <c r="O12" s="1" t="s">
        <v>0</v>
      </c>
      <c r="P12" s="4" t="s">
        <v>3</v>
      </c>
    </row>
    <row r="13" spans="1:22" x14ac:dyDescent="0.35">
      <c r="A13" s="5">
        <v>10012</v>
      </c>
      <c r="B13" s="2">
        <v>1214</v>
      </c>
      <c r="C13" s="3">
        <v>45214</v>
      </c>
      <c r="D13" s="2" t="s">
        <v>40</v>
      </c>
      <c r="E13" s="2" t="s">
        <v>21</v>
      </c>
      <c r="F13" s="2" t="s">
        <v>38</v>
      </c>
      <c r="G13" s="2" t="s">
        <v>43</v>
      </c>
      <c r="H13" s="2" t="s">
        <v>45</v>
      </c>
      <c r="I13" s="2" t="s">
        <v>19</v>
      </c>
      <c r="J13" s="2">
        <v>6</v>
      </c>
      <c r="K13" s="2">
        <v>272.35000000000002</v>
      </c>
      <c r="L13" s="2">
        <v>5</v>
      </c>
      <c r="M13" s="6">
        <v>1552.39</v>
      </c>
      <c r="O13" s="2">
        <v>10006</v>
      </c>
      <c r="P13" s="2" t="str">
        <f>VLOOKUP(O13,A1:M31,4,0)</f>
        <v>Hyderabad</v>
      </c>
    </row>
    <row r="14" spans="1:22" x14ac:dyDescent="0.35">
      <c r="A14" s="5">
        <v>10013</v>
      </c>
      <c r="B14" s="2">
        <v>1330</v>
      </c>
      <c r="C14" s="3">
        <v>45100</v>
      </c>
      <c r="D14" s="2" t="s">
        <v>14</v>
      </c>
      <c r="E14" s="2" t="s">
        <v>15</v>
      </c>
      <c r="F14" s="2" t="s">
        <v>31</v>
      </c>
      <c r="G14" s="2" t="s">
        <v>17</v>
      </c>
      <c r="H14" s="2" t="s">
        <v>37</v>
      </c>
      <c r="I14" s="2" t="s">
        <v>19</v>
      </c>
      <c r="J14" s="2">
        <v>8</v>
      </c>
      <c r="K14" s="2">
        <v>3160.9</v>
      </c>
      <c r="L14" s="2">
        <v>0</v>
      </c>
      <c r="M14" s="6">
        <v>25287.200000000001</v>
      </c>
      <c r="O14" s="2">
        <v>10007</v>
      </c>
      <c r="P14" s="2" t="str">
        <f>VLOOKUP(O14,A2:M31,4,0)</f>
        <v>Bengaluru</v>
      </c>
      <c r="R14" s="4" t="s">
        <v>54</v>
      </c>
      <c r="S14" s="4" t="s">
        <v>55</v>
      </c>
      <c r="U14" s="15" t="s">
        <v>54</v>
      </c>
      <c r="V14" s="15" t="s">
        <v>55</v>
      </c>
    </row>
    <row r="15" spans="1:22" x14ac:dyDescent="0.35">
      <c r="A15" s="5">
        <v>10014</v>
      </c>
      <c r="B15" s="2">
        <v>1458</v>
      </c>
      <c r="C15" s="3">
        <v>45039</v>
      </c>
      <c r="D15" s="2" t="s">
        <v>33</v>
      </c>
      <c r="E15" s="2" t="s">
        <v>26</v>
      </c>
      <c r="F15" s="2" t="s">
        <v>31</v>
      </c>
      <c r="G15" s="2" t="s">
        <v>23</v>
      </c>
      <c r="H15" s="2" t="s">
        <v>32</v>
      </c>
      <c r="I15" s="2" t="s">
        <v>25</v>
      </c>
      <c r="J15" s="2">
        <v>8</v>
      </c>
      <c r="K15" s="2">
        <v>1074.27</v>
      </c>
      <c r="L15" s="2">
        <v>15</v>
      </c>
      <c r="M15" s="6">
        <v>7305.04</v>
      </c>
      <c r="O15" s="2">
        <v>10008</v>
      </c>
      <c r="P15" s="2" t="str">
        <f>VLOOKUP(O15,A3:M32,4,0)</f>
        <v>Mumbai</v>
      </c>
      <c r="R15" s="2">
        <v>0</v>
      </c>
      <c r="S15" s="2" t="s">
        <v>56</v>
      </c>
      <c r="U15" s="2">
        <v>45</v>
      </c>
      <c r="V15" s="2" t="str">
        <f>VLOOKUP(U15,R14:S18,2,1)</f>
        <v>C</v>
      </c>
    </row>
    <row r="16" spans="1:22" x14ac:dyDescent="0.35">
      <c r="A16" s="5">
        <v>10015</v>
      </c>
      <c r="B16" s="2">
        <v>1087</v>
      </c>
      <c r="C16" s="3">
        <v>45048</v>
      </c>
      <c r="D16" s="2" t="s">
        <v>35</v>
      </c>
      <c r="E16" s="2" t="s">
        <v>21</v>
      </c>
      <c r="F16" s="2" t="s">
        <v>16</v>
      </c>
      <c r="G16" s="2" t="s">
        <v>46</v>
      </c>
      <c r="H16" s="2" t="s">
        <v>47</v>
      </c>
      <c r="I16" s="2" t="s">
        <v>19</v>
      </c>
      <c r="J16" s="2">
        <v>9</v>
      </c>
      <c r="K16" s="2">
        <v>705.59</v>
      </c>
      <c r="L16" s="2">
        <v>10</v>
      </c>
      <c r="M16" s="6">
        <v>5715.28</v>
      </c>
      <c r="O16" s="2">
        <v>10009</v>
      </c>
      <c r="P16" s="2" t="str">
        <f>VLOOKUP(O16,A4:M33,4,0)</f>
        <v>Chennai</v>
      </c>
      <c r="R16" s="2">
        <v>40</v>
      </c>
      <c r="S16" s="2" t="s">
        <v>57</v>
      </c>
    </row>
    <row r="17" spans="1:19" x14ac:dyDescent="0.35">
      <c r="A17" s="5">
        <v>10016</v>
      </c>
      <c r="B17" s="2">
        <v>1372</v>
      </c>
      <c r="C17" s="3">
        <v>44958</v>
      </c>
      <c r="D17" s="2" t="s">
        <v>20</v>
      </c>
      <c r="E17" s="2" t="s">
        <v>15</v>
      </c>
      <c r="F17" s="2" t="s">
        <v>36</v>
      </c>
      <c r="G17" s="2" t="s">
        <v>27</v>
      </c>
      <c r="H17" s="2" t="s">
        <v>34</v>
      </c>
      <c r="I17" s="2" t="s">
        <v>19</v>
      </c>
      <c r="J17" s="2">
        <v>8</v>
      </c>
      <c r="K17" s="2">
        <v>595.45000000000005</v>
      </c>
      <c r="L17" s="2">
        <v>5</v>
      </c>
      <c r="M17" s="6">
        <v>4525.42</v>
      </c>
      <c r="O17" s="2">
        <v>10010</v>
      </c>
      <c r="P17" s="2" t="str">
        <f>VLOOKUP(O17,A5:M34,4,0)</f>
        <v>Bengaluru</v>
      </c>
      <c r="R17" s="2">
        <v>60</v>
      </c>
      <c r="S17" s="2" t="s">
        <v>58</v>
      </c>
    </row>
    <row r="18" spans="1:19" x14ac:dyDescent="0.35">
      <c r="A18" s="5">
        <v>10017</v>
      </c>
      <c r="B18" s="2">
        <v>1099</v>
      </c>
      <c r="C18" s="3">
        <v>45148</v>
      </c>
      <c r="D18" s="2" t="s">
        <v>14</v>
      </c>
      <c r="E18" s="2" t="s">
        <v>15</v>
      </c>
      <c r="F18" s="2" t="s">
        <v>38</v>
      </c>
      <c r="G18" s="2" t="s">
        <v>27</v>
      </c>
      <c r="H18" s="2" t="s">
        <v>34</v>
      </c>
      <c r="I18" s="2" t="s">
        <v>25</v>
      </c>
      <c r="J18" s="2">
        <v>2</v>
      </c>
      <c r="K18" s="2">
        <v>254.91</v>
      </c>
      <c r="L18" s="2">
        <v>15</v>
      </c>
      <c r="M18" s="6">
        <v>433.35</v>
      </c>
      <c r="R18" s="2">
        <v>90</v>
      </c>
      <c r="S18" s="2" t="s">
        <v>59</v>
      </c>
    </row>
    <row r="19" spans="1:19" x14ac:dyDescent="0.35">
      <c r="A19" s="5">
        <v>10018</v>
      </c>
      <c r="B19" s="2">
        <v>1871</v>
      </c>
      <c r="C19" s="3">
        <v>45045</v>
      </c>
      <c r="D19" s="2" t="s">
        <v>13</v>
      </c>
      <c r="E19" s="2" t="s">
        <v>21</v>
      </c>
      <c r="F19" s="2" t="s">
        <v>16</v>
      </c>
      <c r="G19" s="2" t="s">
        <v>17</v>
      </c>
      <c r="H19" s="2" t="s">
        <v>48</v>
      </c>
      <c r="I19" s="2" t="s">
        <v>25</v>
      </c>
      <c r="J19" s="2">
        <v>1</v>
      </c>
      <c r="K19" s="2">
        <v>2165.81</v>
      </c>
      <c r="L19" s="2">
        <v>15</v>
      </c>
      <c r="M19" s="6">
        <v>1840.94</v>
      </c>
      <c r="O19" s="1" t="s">
        <v>0</v>
      </c>
      <c r="P19" s="4" t="s">
        <v>12</v>
      </c>
    </row>
    <row r="20" spans="1:19" x14ac:dyDescent="0.35">
      <c r="A20" s="5">
        <v>10019</v>
      </c>
      <c r="B20" s="2">
        <v>1663</v>
      </c>
      <c r="C20" s="3">
        <v>44965</v>
      </c>
      <c r="D20" s="2" t="s">
        <v>30</v>
      </c>
      <c r="E20" s="2" t="s">
        <v>26</v>
      </c>
      <c r="F20" s="2" t="s">
        <v>36</v>
      </c>
      <c r="G20" s="2" t="s">
        <v>27</v>
      </c>
      <c r="H20" s="2" t="s">
        <v>34</v>
      </c>
      <c r="I20" s="2" t="s">
        <v>29</v>
      </c>
      <c r="J20" s="2">
        <v>2</v>
      </c>
      <c r="K20" s="2">
        <v>990.3</v>
      </c>
      <c r="L20" s="2">
        <v>15</v>
      </c>
      <c r="M20" s="6">
        <v>1683.51</v>
      </c>
      <c r="O20" s="2">
        <v>10033</v>
      </c>
      <c r="P20" s="2" t="str">
        <f>IFERROR(VLOOKUP(O20,A1:M31,13,0),"Not found")</f>
        <v>Not found</v>
      </c>
    </row>
    <row r="21" spans="1:19" x14ac:dyDescent="0.35">
      <c r="A21" s="5">
        <v>10020</v>
      </c>
      <c r="B21" s="2">
        <v>1130</v>
      </c>
      <c r="C21" s="3">
        <v>45194</v>
      </c>
      <c r="D21" s="2" t="s">
        <v>40</v>
      </c>
      <c r="E21" s="2" t="s">
        <v>15</v>
      </c>
      <c r="F21" s="2" t="s">
        <v>16</v>
      </c>
      <c r="G21" s="2" t="s">
        <v>43</v>
      </c>
      <c r="H21" s="2" t="s">
        <v>45</v>
      </c>
      <c r="I21" s="2" t="s">
        <v>19</v>
      </c>
      <c r="J21" s="2">
        <v>2</v>
      </c>
      <c r="K21" s="2">
        <v>3959.31</v>
      </c>
      <c r="L21" s="2">
        <v>5</v>
      </c>
      <c r="M21" s="6">
        <v>7522.69</v>
      </c>
      <c r="O21" s="2">
        <v>10030</v>
      </c>
      <c r="P21" s="2">
        <f>IFERROR(VLOOKUP(O21,Table1[#All],13,0),"not found")</f>
        <v>1936.65</v>
      </c>
    </row>
    <row r="22" spans="1:19" x14ac:dyDescent="0.35">
      <c r="A22" s="5">
        <v>10021</v>
      </c>
      <c r="B22" s="2">
        <v>1661</v>
      </c>
      <c r="C22" s="3">
        <v>45159</v>
      </c>
      <c r="D22" s="2" t="s">
        <v>40</v>
      </c>
      <c r="E22" s="2" t="s">
        <v>21</v>
      </c>
      <c r="F22" s="2" t="s">
        <v>16</v>
      </c>
      <c r="G22" s="2" t="s">
        <v>46</v>
      </c>
      <c r="H22" s="2" t="s">
        <v>49</v>
      </c>
      <c r="I22" s="2" t="s">
        <v>19</v>
      </c>
      <c r="J22" s="2">
        <v>3</v>
      </c>
      <c r="K22" s="2">
        <v>2361.58</v>
      </c>
      <c r="L22" s="2">
        <v>5</v>
      </c>
      <c r="M22" s="6">
        <v>6730.5</v>
      </c>
    </row>
    <row r="23" spans="1:19" x14ac:dyDescent="0.35">
      <c r="A23" s="5">
        <v>10022</v>
      </c>
      <c r="B23" s="2">
        <v>1308</v>
      </c>
      <c r="C23" s="3">
        <v>44944</v>
      </c>
      <c r="D23" s="2" t="s">
        <v>33</v>
      </c>
      <c r="E23" s="2" t="s">
        <v>26</v>
      </c>
      <c r="F23" s="2" t="s">
        <v>31</v>
      </c>
      <c r="G23" s="2" t="s">
        <v>50</v>
      </c>
      <c r="H23" s="2" t="s">
        <v>51</v>
      </c>
      <c r="I23" s="2" t="s">
        <v>29</v>
      </c>
      <c r="J23" s="2">
        <v>7</v>
      </c>
      <c r="K23" s="2">
        <v>680.86</v>
      </c>
      <c r="L23" s="2">
        <v>20</v>
      </c>
      <c r="M23" s="6">
        <v>3812.82</v>
      </c>
      <c r="O23" s="14"/>
      <c r="P23" s="14"/>
    </row>
    <row r="24" spans="1:19" x14ac:dyDescent="0.35">
      <c r="A24" s="5">
        <v>10023</v>
      </c>
      <c r="B24" s="2">
        <v>1769</v>
      </c>
      <c r="C24" s="3">
        <v>45075</v>
      </c>
      <c r="D24" s="2" t="s">
        <v>14</v>
      </c>
      <c r="E24" s="2" t="s">
        <v>15</v>
      </c>
      <c r="F24" s="2" t="s">
        <v>36</v>
      </c>
      <c r="G24" s="2" t="s">
        <v>27</v>
      </c>
      <c r="H24" s="2" t="s">
        <v>28</v>
      </c>
      <c r="I24" s="2" t="s">
        <v>39</v>
      </c>
      <c r="J24" s="2">
        <v>2</v>
      </c>
      <c r="K24" s="2">
        <v>2801.74</v>
      </c>
      <c r="L24" s="2">
        <v>20</v>
      </c>
      <c r="M24" s="6">
        <v>4482.78</v>
      </c>
      <c r="O24" s="4" t="s">
        <v>1</v>
      </c>
      <c r="P24" s="4" t="s">
        <v>0</v>
      </c>
    </row>
    <row r="25" spans="1:19" x14ac:dyDescent="0.35">
      <c r="A25" s="5">
        <v>10024</v>
      </c>
      <c r="B25" s="2">
        <v>1343</v>
      </c>
      <c r="C25" s="3">
        <v>45075</v>
      </c>
      <c r="D25" s="2" t="s">
        <v>20</v>
      </c>
      <c r="E25" s="2" t="s">
        <v>15</v>
      </c>
      <c r="F25" s="2" t="s">
        <v>38</v>
      </c>
      <c r="G25" s="2" t="s">
        <v>43</v>
      </c>
      <c r="H25" s="2" t="s">
        <v>45</v>
      </c>
      <c r="I25" s="2" t="s">
        <v>39</v>
      </c>
      <c r="J25" s="2">
        <v>1</v>
      </c>
      <c r="K25" s="2">
        <v>3606.31</v>
      </c>
      <c r="L25" s="2">
        <v>0</v>
      </c>
      <c r="M25" s="6">
        <v>3606.31</v>
      </c>
      <c r="O25" s="2">
        <v>1102</v>
      </c>
      <c r="P25" s="2">
        <f>VLOOKUP(O25,CHOOSE({1,2},Table1[[#All],[Customer ID]],Table1[[#All],[Order ID]]),2,0)</f>
        <v>10001</v>
      </c>
    </row>
    <row r="26" spans="1:19" x14ac:dyDescent="0.35">
      <c r="A26" s="5">
        <v>10025</v>
      </c>
      <c r="B26" s="2">
        <v>1491</v>
      </c>
      <c r="C26" s="3">
        <v>45052</v>
      </c>
      <c r="D26" s="2" t="s">
        <v>33</v>
      </c>
      <c r="E26" s="2" t="s">
        <v>26</v>
      </c>
      <c r="F26" s="2" t="s">
        <v>38</v>
      </c>
      <c r="G26" s="2" t="s">
        <v>50</v>
      </c>
      <c r="H26" s="2" t="s">
        <v>52</v>
      </c>
      <c r="I26" s="2" t="s">
        <v>39</v>
      </c>
      <c r="J26" s="2">
        <v>6</v>
      </c>
      <c r="K26" s="2">
        <v>3018.94</v>
      </c>
      <c r="L26" s="2">
        <v>5</v>
      </c>
      <c r="M26" s="6">
        <v>17207.96</v>
      </c>
    </row>
    <row r="27" spans="1:19" x14ac:dyDescent="0.35">
      <c r="A27" s="5">
        <v>10026</v>
      </c>
      <c r="B27" s="2">
        <v>1413</v>
      </c>
      <c r="C27" s="3">
        <v>45228</v>
      </c>
      <c r="D27" s="2" t="s">
        <v>30</v>
      </c>
      <c r="E27" s="2" t="s">
        <v>26</v>
      </c>
      <c r="F27" s="2" t="s">
        <v>36</v>
      </c>
      <c r="G27" s="2" t="s">
        <v>46</v>
      </c>
      <c r="H27" s="2" t="s">
        <v>53</v>
      </c>
      <c r="I27" s="2" t="s">
        <v>29</v>
      </c>
      <c r="J27" s="2">
        <v>9</v>
      </c>
      <c r="K27" s="2">
        <v>444.29</v>
      </c>
      <c r="L27" s="2">
        <v>5</v>
      </c>
      <c r="M27" s="6">
        <v>3798.68</v>
      </c>
    </row>
    <row r="28" spans="1:19" x14ac:dyDescent="0.35">
      <c r="A28" s="5">
        <v>10027</v>
      </c>
      <c r="B28" s="2">
        <v>1805</v>
      </c>
      <c r="C28" s="3">
        <v>45286</v>
      </c>
      <c r="D28" s="2" t="s">
        <v>33</v>
      </c>
      <c r="E28" s="2" t="s">
        <v>21</v>
      </c>
      <c r="F28" s="2" t="s">
        <v>31</v>
      </c>
      <c r="G28" s="2" t="s">
        <v>50</v>
      </c>
      <c r="H28" s="2" t="s">
        <v>51</v>
      </c>
      <c r="I28" s="2" t="s">
        <v>19</v>
      </c>
      <c r="J28" s="2">
        <v>3</v>
      </c>
      <c r="K28" s="2">
        <v>3599.15</v>
      </c>
      <c r="L28" s="2">
        <v>5</v>
      </c>
      <c r="M28" s="6">
        <v>10257.58</v>
      </c>
    </row>
    <row r="29" spans="1:19" x14ac:dyDescent="0.35">
      <c r="A29" s="5">
        <v>10028</v>
      </c>
      <c r="B29" s="2">
        <v>1385</v>
      </c>
      <c r="C29" s="3">
        <v>45164</v>
      </c>
      <c r="D29" s="2" t="s">
        <v>35</v>
      </c>
      <c r="E29" s="2" t="s">
        <v>21</v>
      </c>
      <c r="F29" s="2" t="s">
        <v>22</v>
      </c>
      <c r="G29" s="2" t="s">
        <v>43</v>
      </c>
      <c r="H29" s="2" t="s">
        <v>45</v>
      </c>
      <c r="I29" s="2" t="s">
        <v>29</v>
      </c>
      <c r="J29" s="2">
        <v>6</v>
      </c>
      <c r="K29" s="2">
        <v>3206.63</v>
      </c>
      <c r="L29" s="2">
        <v>20</v>
      </c>
      <c r="M29" s="6">
        <v>15391.82</v>
      </c>
    </row>
    <row r="30" spans="1:19" x14ac:dyDescent="0.35">
      <c r="A30" s="9">
        <v>10029</v>
      </c>
      <c r="B30" s="10">
        <v>1191</v>
      </c>
      <c r="C30" s="11">
        <v>45061</v>
      </c>
      <c r="D30" s="10" t="s">
        <v>40</v>
      </c>
      <c r="E30" s="10" t="s">
        <v>15</v>
      </c>
      <c r="F30" s="10" t="s">
        <v>16</v>
      </c>
      <c r="G30" s="10" t="s">
        <v>23</v>
      </c>
      <c r="H30" s="10" t="s">
        <v>24</v>
      </c>
      <c r="I30" s="10" t="s">
        <v>29</v>
      </c>
      <c r="J30" s="10">
        <v>3</v>
      </c>
      <c r="K30" s="10">
        <v>759.47</v>
      </c>
      <c r="L30" s="10">
        <v>15</v>
      </c>
      <c r="M30" s="12">
        <v>1936.65</v>
      </c>
    </row>
    <row r="31" spans="1:19" x14ac:dyDescent="0.35">
      <c r="A31" s="9">
        <v>10030</v>
      </c>
      <c r="B31" s="10">
        <v>1191</v>
      </c>
      <c r="C31" s="11">
        <v>45061</v>
      </c>
      <c r="D31" s="10" t="s">
        <v>40</v>
      </c>
      <c r="E31" s="10" t="s">
        <v>15</v>
      </c>
      <c r="F31" s="10" t="s">
        <v>16</v>
      </c>
      <c r="G31" s="10" t="s">
        <v>23</v>
      </c>
      <c r="H31" s="10" t="s">
        <v>24</v>
      </c>
      <c r="I31" s="10" t="s">
        <v>29</v>
      </c>
      <c r="J31" s="10">
        <v>3</v>
      </c>
      <c r="K31" s="10">
        <v>759.47</v>
      </c>
      <c r="L31" s="10">
        <v>15</v>
      </c>
      <c r="M31" s="12">
        <v>1936.65</v>
      </c>
    </row>
  </sheetData>
  <conditionalFormatting sqref="A2:M31">
    <cfRule type="expression" dxfId="25" priority="23">
      <formula>AND(#REF!=$P$8,$F2=$Q$8)</formula>
    </cfRule>
    <cfRule type="expression" dxfId="24" priority="24">
      <formula>$E2=$P$3</formula>
    </cfRule>
  </conditionalFormatting>
  <conditionalFormatting sqref="O4">
    <cfRule type="expression" dxfId="23" priority="17">
      <formula>AND(#REF!=$P$8,$F4=$Q$8)</formula>
    </cfRule>
    <cfRule type="expression" dxfId="22" priority="18">
      <formula>$E4=$P$3</formula>
    </cfRule>
  </conditionalFormatting>
  <conditionalFormatting sqref="P4">
    <cfRule type="expression" dxfId="21" priority="15">
      <formula>AND(#REF!=$P$8,$F4=$Q$8)</formula>
    </cfRule>
    <cfRule type="expression" dxfId="20" priority="16">
      <formula>$E4=$P$3</formula>
    </cfRule>
  </conditionalFormatting>
  <conditionalFormatting sqref="O7">
    <cfRule type="expression" dxfId="19" priority="13">
      <formula>AND(#REF!=$P$8,$F7=$Q$8)</formula>
    </cfRule>
    <cfRule type="expression" dxfId="18" priority="14">
      <formula>$E7=$P$3</formula>
    </cfRule>
  </conditionalFormatting>
  <conditionalFormatting sqref="P7">
    <cfRule type="expression" dxfId="17" priority="11">
      <formula>AND(#REF!=$P$8,$F7=$Q$8)</formula>
    </cfRule>
    <cfRule type="expression" dxfId="16" priority="12">
      <formula>$E7=$P$3</formula>
    </cfRule>
  </conditionalFormatting>
  <conditionalFormatting sqref="O10">
    <cfRule type="expression" dxfId="15" priority="9">
      <formula>AND(#REF!=$P$8,$F10=$Q$8)</formula>
    </cfRule>
    <cfRule type="expression" dxfId="14" priority="10">
      <formula>$E10=$P$3</formula>
    </cfRule>
  </conditionalFormatting>
  <conditionalFormatting sqref="O13:O17">
    <cfRule type="expression" dxfId="13" priority="7">
      <formula>AND(#REF!=$P$8,$F13=$Q$8)</formula>
    </cfRule>
    <cfRule type="expression" dxfId="12" priority="8">
      <formula>$E13=$P$3</formula>
    </cfRule>
  </conditionalFormatting>
  <conditionalFormatting sqref="O20">
    <cfRule type="expression" dxfId="9" priority="3">
      <formula>AND(#REF!=$P$8,$F20=$Q$8)</formula>
    </cfRule>
    <cfRule type="expression" dxfId="8" priority="4">
      <formula>$E20=$P$3</formula>
    </cfRule>
  </conditionalFormatting>
  <conditionalFormatting sqref="A31:M31">
    <cfRule type="expression" dxfId="7" priority="1">
      <formula>AND(#REF!=$P$8,$F31=$Q$8)</formula>
    </cfRule>
    <cfRule type="expression" dxfId="6" priority="2">
      <formula>$E31=$P$3</formula>
    </cfRule>
  </conditionalFormatting>
  <dataValidations count="2">
    <dataValidation type="list" allowBlank="1" showInputMessage="1" showErrorMessage="1" sqref="O4" xr:uid="{1AFF991A-1ADC-4611-94A6-E58E70961C7F}">
      <formula1>$A$2:$A$31</formula1>
    </dataValidation>
    <dataValidation type="list" allowBlank="1" showInputMessage="1" showErrorMessage="1" sqref="O7" xr:uid="{2144AD99-3732-4093-9FE8-BF2DB83B44FB}">
      <formula1>$B$2:$B$31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00BF-5974-48D3-987C-10C4EEBF17A4}">
  <dimension ref="A1:J10"/>
  <sheetViews>
    <sheetView tabSelected="1" workbookViewId="0">
      <selection activeCell="G13" sqref="G13"/>
    </sheetView>
  </sheetViews>
  <sheetFormatPr defaultRowHeight="14.5" x14ac:dyDescent="0.35"/>
  <cols>
    <col min="2" max="2" width="12.36328125" customWidth="1"/>
    <col min="3" max="3" width="11.6328125" customWidth="1"/>
    <col min="4" max="4" width="11.90625" customWidth="1"/>
    <col min="5" max="5" width="13.26953125" customWidth="1"/>
    <col min="6" max="6" width="10.26953125" customWidth="1"/>
    <col min="7" max="7" width="11.7265625" customWidth="1"/>
    <col min="8" max="8" width="11.81640625" customWidth="1"/>
    <col min="9" max="9" width="12" customWidth="1"/>
    <col min="10" max="10" width="11.90625" customWidth="1"/>
  </cols>
  <sheetData>
    <row r="1" spans="1:10" x14ac:dyDescent="0.35">
      <c r="A1" s="4" t="s">
        <v>0</v>
      </c>
      <c r="B1" s="16">
        <v>10001</v>
      </c>
      <c r="C1" s="18">
        <v>10002</v>
      </c>
      <c r="D1" s="16">
        <v>10003</v>
      </c>
      <c r="E1" s="18">
        <v>10004</v>
      </c>
      <c r="F1" s="16">
        <v>10005</v>
      </c>
      <c r="G1" s="18">
        <v>10006</v>
      </c>
      <c r="H1" s="16">
        <v>10007</v>
      </c>
      <c r="I1" s="18">
        <v>10008</v>
      </c>
      <c r="J1" s="16">
        <v>10009</v>
      </c>
    </row>
    <row r="2" spans="1:10" x14ac:dyDescent="0.35">
      <c r="A2" s="4" t="s">
        <v>1</v>
      </c>
      <c r="B2" s="16">
        <v>1102</v>
      </c>
      <c r="C2" s="18">
        <v>1435</v>
      </c>
      <c r="D2" s="16">
        <v>1860</v>
      </c>
      <c r="E2" s="18">
        <v>1270</v>
      </c>
      <c r="F2" s="16">
        <v>1106</v>
      </c>
      <c r="G2" s="18">
        <v>1071</v>
      </c>
      <c r="H2" s="16">
        <v>1700</v>
      </c>
      <c r="I2" s="18">
        <v>1020</v>
      </c>
      <c r="J2" s="16">
        <v>1614</v>
      </c>
    </row>
    <row r="3" spans="1:10" x14ac:dyDescent="0.35">
      <c r="A3" s="4" t="s">
        <v>2</v>
      </c>
      <c r="B3" s="17">
        <v>45197</v>
      </c>
      <c r="C3" s="19">
        <v>45199</v>
      </c>
      <c r="D3" s="17">
        <v>45109</v>
      </c>
      <c r="E3" s="19">
        <v>45079</v>
      </c>
      <c r="F3" s="17">
        <v>45241</v>
      </c>
      <c r="G3" s="19">
        <v>45260</v>
      </c>
      <c r="H3" s="17">
        <v>45050</v>
      </c>
      <c r="I3" s="19">
        <v>45040</v>
      </c>
      <c r="J3" s="17">
        <v>45204</v>
      </c>
    </row>
    <row r="4" spans="1:10" x14ac:dyDescent="0.35">
      <c r="A4" s="4" t="s">
        <v>3</v>
      </c>
      <c r="B4" s="16" t="s">
        <v>13</v>
      </c>
      <c r="C4" s="18" t="s">
        <v>20</v>
      </c>
      <c r="D4" s="16" t="s">
        <v>13</v>
      </c>
      <c r="E4" s="18" t="s">
        <v>30</v>
      </c>
      <c r="F4" s="16" t="s">
        <v>33</v>
      </c>
      <c r="G4" s="18" t="s">
        <v>35</v>
      </c>
      <c r="H4" s="16" t="s">
        <v>30</v>
      </c>
      <c r="I4" s="18" t="s">
        <v>40</v>
      </c>
      <c r="J4" s="16" t="s">
        <v>13</v>
      </c>
    </row>
    <row r="5" spans="1:10" x14ac:dyDescent="0.35">
      <c r="A5" s="4" t="s">
        <v>4</v>
      </c>
      <c r="B5" s="16" t="s">
        <v>15</v>
      </c>
      <c r="C5" s="18" t="s">
        <v>21</v>
      </c>
      <c r="D5" s="16" t="s">
        <v>26</v>
      </c>
      <c r="E5" s="18" t="s">
        <v>21</v>
      </c>
      <c r="F5" s="16" t="s">
        <v>26</v>
      </c>
      <c r="G5" s="18" t="s">
        <v>21</v>
      </c>
      <c r="H5" s="16" t="s">
        <v>15</v>
      </c>
      <c r="I5" s="18" t="s">
        <v>21</v>
      </c>
      <c r="J5" s="16" t="s">
        <v>21</v>
      </c>
    </row>
    <row r="9" spans="1:10" x14ac:dyDescent="0.35">
      <c r="D9" s="4" t="s">
        <v>0</v>
      </c>
      <c r="E9" s="4" t="s">
        <v>3</v>
      </c>
    </row>
    <row r="10" spans="1:10" x14ac:dyDescent="0.35">
      <c r="D10" s="18">
        <v>10006</v>
      </c>
      <c r="E10" s="2" t="str">
        <f>HLOOKUP(D10,A1:J5,4,0)</f>
        <v>Hyderabad</v>
      </c>
    </row>
  </sheetData>
  <conditionalFormatting sqref="B1:J5">
    <cfRule type="expression" dxfId="3" priority="3">
      <formula>AND(#REF!=$P$8,$F1=$Q$8)</formula>
    </cfRule>
    <cfRule type="expression" dxfId="2" priority="4">
      <formula>$E1=$P$3</formula>
    </cfRule>
  </conditionalFormatting>
  <conditionalFormatting sqref="D10">
    <cfRule type="expression" dxfId="1" priority="1">
      <formula>AND(#REF!=$P$8,$F10=$Q$8)</formula>
    </cfRule>
    <cfRule type="expression" dxfId="0" priority="2">
      <formula>$E10=$P$3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VLoopup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SOHEL SARKAR MASUM</dc:creator>
  <cp:lastModifiedBy>AMIR SOHEL SARKAR MASUM</cp:lastModifiedBy>
  <cp:lastPrinted>2026-10-07T06:31:41Z</cp:lastPrinted>
  <dcterms:created xsi:type="dcterms:W3CDTF">2026-10-07T05:41:42Z</dcterms:created>
  <dcterms:modified xsi:type="dcterms:W3CDTF">2026-10-07T07:52:07Z</dcterms:modified>
</cp:coreProperties>
</file>