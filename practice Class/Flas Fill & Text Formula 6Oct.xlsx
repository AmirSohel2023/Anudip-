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D48C8040-BA14-4996-900F-5853ECA6C294}" xr6:coauthVersionLast="47" xr6:coauthVersionMax="47" xr10:uidLastSave="{00000000-0000-0000-0000-000000000000}"/>
  <bookViews>
    <workbookView xWindow="-110" yWindow="-110" windowWidth="19420" windowHeight="11500" xr2:uid="{B5BF1EEC-A2AA-4C0C-AB03-AFE46A81DBA5}"/>
  </bookViews>
  <sheets>
    <sheet name="Flas Fill &amp; Text Formula" sheetId="1" r:id="rId1"/>
    <sheet name="Assign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W7" i="1" s="1"/>
  <c r="AD7" i="1" s="1"/>
  <c r="R2" i="2"/>
  <c r="R3" i="2"/>
  <c r="R4" i="2"/>
  <c r="R5" i="2"/>
  <c r="R6" i="2"/>
  <c r="R7" i="2"/>
  <c r="R8" i="2"/>
  <c r="R9" i="2"/>
  <c r="R10" i="2"/>
  <c r="R11" i="2"/>
  <c r="Q3" i="2"/>
  <c r="Q4" i="2"/>
  <c r="Q5" i="2"/>
  <c r="Q6" i="2"/>
  <c r="Q7" i="2"/>
  <c r="Q8" i="2"/>
  <c r="Q9" i="2"/>
  <c r="Q10" i="2"/>
  <c r="Q11" i="2"/>
  <c r="Q2" i="2"/>
  <c r="P2" i="2"/>
  <c r="P3" i="2"/>
  <c r="P4" i="2"/>
  <c r="P5" i="2"/>
  <c r="P6" i="2"/>
  <c r="P7" i="2"/>
  <c r="P8" i="2"/>
  <c r="P9" i="2"/>
  <c r="P10" i="2"/>
  <c r="P11" i="2"/>
  <c r="O3" i="2"/>
  <c r="O4" i="2"/>
  <c r="O5" i="2"/>
  <c r="O6" i="2"/>
  <c r="O7" i="2"/>
  <c r="O8" i="2"/>
  <c r="O9" i="2"/>
  <c r="O10" i="2"/>
  <c r="O11" i="2"/>
  <c r="O2" i="2"/>
  <c r="L3" i="2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AD3" i="1"/>
  <c r="AD15" i="1"/>
  <c r="AD16" i="1"/>
  <c r="AD17" i="1"/>
  <c r="AD18" i="1"/>
  <c r="AB2" i="1"/>
  <c r="AC11" i="1"/>
  <c r="AC12" i="1"/>
  <c r="AC13" i="1"/>
  <c r="AC14" i="1"/>
  <c r="AC15" i="1"/>
  <c r="AB3" i="1"/>
  <c r="AB4" i="1"/>
  <c r="AB5" i="1"/>
  <c r="AB6" i="1"/>
  <c r="AB7" i="1"/>
  <c r="AB8" i="1"/>
  <c r="AB9" i="1"/>
  <c r="AB10" i="1"/>
  <c r="AB12" i="1"/>
  <c r="AB17" i="1"/>
  <c r="AB18" i="1"/>
  <c r="AB19" i="1"/>
  <c r="AB20" i="1"/>
  <c r="Z7" i="1"/>
  <c r="Z2" i="1"/>
  <c r="Y3" i="1"/>
  <c r="AC3" i="1" s="1"/>
  <c r="Y4" i="1"/>
  <c r="AC4" i="1" s="1"/>
  <c r="Y11" i="1"/>
  <c r="Y12" i="1"/>
  <c r="Y13" i="1"/>
  <c r="Y14" i="1"/>
  <c r="Y15" i="1"/>
  <c r="Y16" i="1"/>
  <c r="AC16" i="1" s="1"/>
  <c r="Y17" i="1"/>
  <c r="AC17" i="1" s="1"/>
  <c r="Y18" i="1"/>
  <c r="AC18" i="1" s="1"/>
  <c r="Y19" i="1"/>
  <c r="AC19" i="1" s="1"/>
  <c r="Y20" i="1"/>
  <c r="AC20" i="1" s="1"/>
  <c r="X17" i="1"/>
  <c r="V3" i="1"/>
  <c r="V4" i="1"/>
  <c r="W4" i="1" s="1"/>
  <c r="AD4" i="1" s="1"/>
  <c r="V5" i="1"/>
  <c r="W5" i="1" s="1"/>
  <c r="AD5" i="1" s="1"/>
  <c r="V6" i="1"/>
  <c r="W6" i="1" s="1"/>
  <c r="AD6" i="1" s="1"/>
  <c r="V8" i="1"/>
  <c r="V9" i="1"/>
  <c r="V10" i="1"/>
  <c r="W10" i="1" s="1"/>
  <c r="AD10" i="1" s="1"/>
  <c r="V11" i="1"/>
  <c r="W11" i="1" s="1"/>
  <c r="AD11" i="1" s="1"/>
  <c r="V12" i="1"/>
  <c r="V13" i="1"/>
  <c r="V14" i="1"/>
  <c r="V15" i="1"/>
  <c r="V16" i="1"/>
  <c r="W16" i="1" s="1"/>
  <c r="V17" i="1"/>
  <c r="W17" i="1" s="1"/>
  <c r="V18" i="1"/>
  <c r="W18" i="1" s="1"/>
  <c r="V19" i="1"/>
  <c r="W19" i="1" s="1"/>
  <c r="AD19" i="1" s="1"/>
  <c r="V20" i="1"/>
  <c r="W20" i="1" s="1"/>
  <c r="AD20" i="1" s="1"/>
  <c r="V2" i="1"/>
  <c r="W2" i="1" s="1"/>
  <c r="AD2" i="1" s="1"/>
  <c r="W3" i="1"/>
  <c r="W8" i="1"/>
  <c r="AD8" i="1" s="1"/>
  <c r="W9" i="1"/>
  <c r="AD9" i="1" s="1"/>
  <c r="W12" i="1"/>
  <c r="AD12" i="1" s="1"/>
  <c r="W13" i="1"/>
  <c r="AD13" i="1" s="1"/>
  <c r="W14" i="1"/>
  <c r="AD14" i="1" s="1"/>
  <c r="W15" i="1"/>
  <c r="U3" i="1"/>
  <c r="U4" i="1"/>
  <c r="U5" i="1"/>
  <c r="U6" i="1"/>
  <c r="U7" i="1"/>
  <c r="U8" i="1"/>
  <c r="U9" i="1"/>
  <c r="U10" i="1"/>
  <c r="AA10" i="1" s="1"/>
  <c r="U11" i="1"/>
  <c r="AA11" i="1" s="1"/>
  <c r="U12" i="1"/>
  <c r="X12" i="1" s="1"/>
  <c r="U13" i="1"/>
  <c r="AA13" i="1" s="1"/>
  <c r="U14" i="1"/>
  <c r="AA14" i="1" s="1"/>
  <c r="U15" i="1"/>
  <c r="AA15" i="1" s="1"/>
  <c r="U16" i="1"/>
  <c r="AA16" i="1" s="1"/>
  <c r="U17" i="1"/>
  <c r="U18" i="1"/>
  <c r="U19" i="1"/>
  <c r="U20" i="1"/>
  <c r="U2" i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Q3" i="1"/>
  <c r="X3" i="1" s="1"/>
  <c r="Q4" i="1"/>
  <c r="X4" i="1" s="1"/>
  <c r="Q5" i="1"/>
  <c r="Y5" i="1" s="1"/>
  <c r="AC5" i="1" s="1"/>
  <c r="Q6" i="1"/>
  <c r="Y6" i="1" s="1"/>
  <c r="AC6" i="1" s="1"/>
  <c r="Q7" i="1"/>
  <c r="X7" i="1" s="1"/>
  <c r="Q8" i="1"/>
  <c r="Y8" i="1" s="1"/>
  <c r="AC8" i="1" s="1"/>
  <c r="Q9" i="1"/>
  <c r="Y9" i="1" s="1"/>
  <c r="AC9" i="1" s="1"/>
  <c r="Q10" i="1"/>
  <c r="Y10" i="1" s="1"/>
  <c r="AC10" i="1" s="1"/>
  <c r="Q11" i="1"/>
  <c r="Q12" i="1"/>
  <c r="Q13" i="1"/>
  <c r="Q14" i="1"/>
  <c r="Q15" i="1"/>
  <c r="Q16" i="1"/>
  <c r="Q17" i="1"/>
  <c r="AA17" i="1" s="1"/>
  <c r="Q18" i="1"/>
  <c r="X18" i="1" s="1"/>
  <c r="Q19" i="1"/>
  <c r="X19" i="1" s="1"/>
  <c r="Q20" i="1"/>
  <c r="AA20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P3" i="1"/>
  <c r="Z3" i="1" s="1"/>
  <c r="P4" i="1"/>
  <c r="Z4" i="1" s="1"/>
  <c r="P5" i="1"/>
  <c r="Z5" i="1" s="1"/>
  <c r="P6" i="1"/>
  <c r="Z6" i="1" s="1"/>
  <c r="P7" i="1"/>
  <c r="P8" i="1"/>
  <c r="Z8" i="1" s="1"/>
  <c r="P9" i="1"/>
  <c r="Z9" i="1" s="1"/>
  <c r="P10" i="1"/>
  <c r="Z10" i="1" s="1"/>
  <c r="P11" i="1"/>
  <c r="Z11" i="1" s="1"/>
  <c r="P12" i="1"/>
  <c r="Z12" i="1" s="1"/>
  <c r="P13" i="1"/>
  <c r="Z13" i="1" s="1"/>
  <c r="P14" i="1"/>
  <c r="Z14" i="1" s="1"/>
  <c r="P15" i="1"/>
  <c r="Z15" i="1" s="1"/>
  <c r="P16" i="1"/>
  <c r="Z16" i="1" s="1"/>
  <c r="P17" i="1"/>
  <c r="Z17" i="1" s="1"/>
  <c r="P18" i="1"/>
  <c r="Z18" i="1" s="1"/>
  <c r="P19" i="1"/>
  <c r="Z19" i="1" s="1"/>
  <c r="P20" i="1"/>
  <c r="Z20" i="1" s="1"/>
  <c r="R2" i="1"/>
  <c r="Q2" i="1"/>
  <c r="Y2" i="1" s="1"/>
  <c r="AC2" i="1" s="1"/>
  <c r="O2" i="1"/>
  <c r="P2" i="1"/>
  <c r="S2" i="1"/>
  <c r="T2" i="1" s="1"/>
  <c r="AA9" i="1" l="1"/>
  <c r="X16" i="1"/>
  <c r="AA8" i="1"/>
  <c r="AB11" i="1"/>
  <c r="X15" i="1"/>
  <c r="X13" i="1"/>
  <c r="AA5" i="1"/>
  <c r="AA4" i="1"/>
  <c r="AA19" i="1"/>
  <c r="AA18" i="1"/>
  <c r="X8" i="1"/>
  <c r="X20" i="1"/>
  <c r="Y7" i="1"/>
  <c r="AC7" i="1" s="1"/>
  <c r="AA12" i="1"/>
  <c r="AB15" i="1"/>
  <c r="AA7" i="1"/>
  <c r="X14" i="1"/>
  <c r="AA6" i="1"/>
  <c r="X11" i="1"/>
  <c r="AA3" i="1"/>
  <c r="X10" i="1"/>
  <c r="AA2" i="1"/>
  <c r="X9" i="1"/>
  <c r="X6" i="1"/>
  <c r="X2" i="1"/>
  <c r="X5" i="1"/>
  <c r="AB16" i="1"/>
  <c r="AB14" i="1"/>
  <c r="AB13" i="1"/>
</calcChain>
</file>

<file path=xl/sharedStrings.xml><?xml version="1.0" encoding="utf-8"?>
<sst xmlns="http://schemas.openxmlformats.org/spreadsheetml/2006/main" count="347" uniqueCount="210">
  <si>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</si>
  <si>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</si>
  <si>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</si>
  <si>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</si>
  <si>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</si>
  <si>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</si>
  <si>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</si>
  <si>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</si>
  <si>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</si>
  <si>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</si>
  <si>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</si>
  <si>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</si>
  <si>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</si>
  <si>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</si>
  <si>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</si>
  <si>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</si>
  <si>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</si>
  <si>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</si>
  <si>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</si>
  <si>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</si>
  <si>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</si>
  <si>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</si>
  <si>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</si>
  <si>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</si>
  <si>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</si>
  <si>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</si>
  <si>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</si>
  <si>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</si>
  <si>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</si>
  <si>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</si>
  <si>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</si>
  <si>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</si>
  <si>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</si>
  <si>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</si>
  <si>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</si>
  <si>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</si>
  <si>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</si>
  <si>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</si>
  <si>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</si>
  <si>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</si>
  <si>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</si>
  <si>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</si>
  <si>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</si>
  <si>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</si>
  <si>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</si>
  <si>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</si>
  <si>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</si>
  <si>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</si>
  <si>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</si>
  <si>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</si>
  <si>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</si>
  <si>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</si>
  <si>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BRANDA</t>
  </si>
  <si>
    <t>BRANDD</t>
  </si>
  <si>
    <t>BRANDE</t>
  </si>
  <si>
    <t>BRANDC</t>
  </si>
  <si>
    <t>BRANDB</t>
  </si>
  <si>
    <t>CITY STATE</t>
  </si>
  <si>
    <t>CHENNAI DELHI</t>
  </si>
  <si>
    <t>CHENNAI WEST BENGAL</t>
  </si>
  <si>
    <t>BENGALURU WEST BENGAL</t>
  </si>
  <si>
    <t>KOLKATA KARNATAKA</t>
  </si>
  <si>
    <t>HYDERABAD TELANGANA</t>
  </si>
  <si>
    <t>MUMBAI DELHI</t>
  </si>
  <si>
    <t>BENGALURU KARNATAKA</t>
  </si>
  <si>
    <t>DELHI TAMIL NADU</t>
  </si>
  <si>
    <t>HYDERABAD TAMIL NADU</t>
  </si>
  <si>
    <t>PUNE WEST BENGAL</t>
  </si>
  <si>
    <t>DELHI MAHARASHTRA</t>
  </si>
  <si>
    <t>Left</t>
  </si>
  <si>
    <t>Mix</t>
  </si>
  <si>
    <t>Foo</t>
  </si>
  <si>
    <t>Sne</t>
  </si>
  <si>
    <t>Yog</t>
  </si>
  <si>
    <t>Jac</t>
  </si>
  <si>
    <t>Bed</t>
  </si>
  <si>
    <t>T-S</t>
  </si>
  <si>
    <t>Hea</t>
  </si>
  <si>
    <t>Sma</t>
  </si>
  <si>
    <t>Sha</t>
  </si>
  <si>
    <t>Cur</t>
  </si>
  <si>
    <t>BRAND</t>
  </si>
  <si>
    <t>Mid</t>
  </si>
  <si>
    <t>Right</t>
  </si>
  <si>
    <t>LEN</t>
  </si>
  <si>
    <t>PUNE   TAMIL NADU</t>
  </si>
  <si>
    <t>Trim</t>
  </si>
  <si>
    <t>LEN2</t>
  </si>
  <si>
    <t xml:space="preserve">KOLKATA KARNATAKA   </t>
  </si>
  <si>
    <t>BENGALURU    TELANGANA</t>
  </si>
  <si>
    <t>MUMBAI    TAMIL    NADU</t>
  </si>
  <si>
    <t>Flas Fill</t>
  </si>
  <si>
    <t>Upper</t>
  </si>
  <si>
    <t>Lower</t>
  </si>
  <si>
    <t>Proper</t>
  </si>
  <si>
    <t>Concat</t>
  </si>
  <si>
    <t xml:space="preserve">Concat 2 </t>
  </si>
  <si>
    <t>Concatenate</t>
  </si>
  <si>
    <t>Textjoin</t>
  </si>
  <si>
    <t>Find</t>
  </si>
  <si>
    <t>Search</t>
  </si>
  <si>
    <t>Replace</t>
  </si>
  <si>
    <t>Emp_ID</t>
  </si>
  <si>
    <t>Full_Name</t>
  </si>
  <si>
    <t>Email</t>
  </si>
  <si>
    <t>Phone</t>
  </si>
  <si>
    <t>Department</t>
  </si>
  <si>
    <t>Employee_Code</t>
  </si>
  <si>
    <t>Location</t>
  </si>
  <si>
    <t>Salary</t>
  </si>
  <si>
    <t>E001</t>
  </si>
  <si>
    <t>Rahul Sharma</t>
  </si>
  <si>
    <t>rahul.sharma@gmail.com</t>
  </si>
  <si>
    <t>Sales</t>
  </si>
  <si>
    <t>SAL-001-KOL</t>
  </si>
  <si>
    <t>E002</t>
  </si>
  <si>
    <t>Priya Sen</t>
  </si>
  <si>
    <t>priya.sen@yahoo.com</t>
  </si>
  <si>
    <t>HR</t>
  </si>
  <si>
    <t>HR-002-DEL</t>
  </si>
  <si>
    <t>E003</t>
  </si>
  <si>
    <t>Amit Roy</t>
  </si>
  <si>
    <t>amit.roy@gmail.com</t>
  </si>
  <si>
    <t>Finance</t>
  </si>
  <si>
    <t>FIN-003-MUM</t>
  </si>
  <si>
    <t>E004</t>
  </si>
  <si>
    <t>Sneha Das</t>
  </si>
  <si>
    <t>sneha.das@outlook.com</t>
  </si>
  <si>
    <t>IT</t>
  </si>
  <si>
    <t>IT-004-BLR</t>
  </si>
  <si>
    <t>Bangalore</t>
  </si>
  <si>
    <t>E005</t>
  </si>
  <si>
    <t>Arjun Mehta</t>
  </si>
  <si>
    <t>arjun.mehta@gmail.com</t>
  </si>
  <si>
    <t>Marketing</t>
  </si>
  <si>
    <t>MKT-005-PUN</t>
  </si>
  <si>
    <t>E006</t>
  </si>
  <si>
    <t>Neha Gupta</t>
  </si>
  <si>
    <t>neha.gupta@yahoo.com</t>
  </si>
  <si>
    <t>SAL-006-DEL</t>
  </si>
  <si>
    <t>E007</t>
  </si>
  <si>
    <t>Rohan Paul</t>
  </si>
  <si>
    <t>rohan.paul@gmail.com</t>
  </si>
  <si>
    <t>IT-007-KOL</t>
  </si>
  <si>
    <t>E008</t>
  </si>
  <si>
    <t>Ananya Bose</t>
  </si>
  <si>
    <t>ananya.bose@gmail.com</t>
  </si>
  <si>
    <t>FIN-008-CHN</t>
  </si>
  <si>
    <t>E009</t>
  </si>
  <si>
    <t>Karan Singh</t>
  </si>
  <si>
    <t>karan.singh@yahoo.com</t>
  </si>
  <si>
    <t>HR-009-MUM</t>
  </si>
  <si>
    <t>E010</t>
  </si>
  <si>
    <t>Pooja Das</t>
  </si>
  <si>
    <t>pooja.das@gmail.com</t>
  </si>
  <si>
    <t>MKT-010-KOL</t>
  </si>
  <si>
    <t>Frist Name</t>
  </si>
  <si>
    <t>Rahul</t>
  </si>
  <si>
    <t>Priya</t>
  </si>
  <si>
    <t>Amit</t>
  </si>
  <si>
    <t>Sneha</t>
  </si>
  <si>
    <t>Arjun</t>
  </si>
  <si>
    <t>Neha</t>
  </si>
  <si>
    <t>Rohan</t>
  </si>
  <si>
    <t>Ananya</t>
  </si>
  <si>
    <t>Karan</t>
  </si>
  <si>
    <t>Pooja</t>
  </si>
  <si>
    <t>Last Name</t>
  </si>
  <si>
    <t>Sharma</t>
  </si>
  <si>
    <t>Sen</t>
  </si>
  <si>
    <t>Roy</t>
  </si>
  <si>
    <t>Das</t>
  </si>
  <si>
    <t>Mehta</t>
  </si>
  <si>
    <t>Gupta</t>
  </si>
  <si>
    <t>Paul</t>
  </si>
  <si>
    <t>Bose</t>
  </si>
  <si>
    <t>Singh</t>
  </si>
  <si>
    <t>Last 4 Digit</t>
  </si>
  <si>
    <t>Frist 3 Char</t>
  </si>
  <si>
    <t>Employee Number</t>
  </si>
  <si>
    <t>City Code</t>
  </si>
  <si>
    <t>KOL</t>
  </si>
  <si>
    <t>DEL</t>
  </si>
  <si>
    <t>MUM</t>
  </si>
  <si>
    <t>BLR</t>
  </si>
  <si>
    <t>PUN</t>
  </si>
  <si>
    <t>CHN</t>
  </si>
  <si>
    <t>Count Char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</si>
  <si>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</si>
  <si>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</si>
  <si>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</si>
  <si>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</si>
  <si>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</si>
  <si>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</si>
  <si>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</si>
  <si>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</si>
  <si>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</si>
  <si>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</si>
  <si>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Upper Name</t>
  </si>
  <si>
    <t>Questions</t>
  </si>
  <si>
    <t>2. Extract the Laste Name from Full_Name</t>
  </si>
  <si>
    <t>1. Extract the frist Name from Full_Name?</t>
  </si>
  <si>
    <t>3. 1. Extract the Last 4 Digit from Phone Number?</t>
  </si>
  <si>
    <t>4. Extract the Frist 3 characters frome Empolyee_Code?</t>
  </si>
  <si>
    <t>5. Extract the Employee Number from Employee_code?</t>
  </si>
  <si>
    <t>6. Extract the City Cpde From the Employee_code?</t>
  </si>
  <si>
    <t>7. Find the counter Characters frome Employee Name?</t>
  </si>
  <si>
    <t>8. Convert Name Into Upper Case?</t>
  </si>
  <si>
    <t>Last  7 Text</t>
  </si>
  <si>
    <t>Employ Number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</si>
</sst>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0" fillId="0" borderId="1" xfId="0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1" fillId="2" borderId="4" xfId="0" applyFont="1" applyFill="1" applyBorder="1"/>
    <xf numFmtId="0" fontId="0" fillId="0" borderId="4" xfId="0" applyBorder="1"/>
    <xf numFmtId="0" fontId="0" fillId="0" borderId="5" xfId="0" applyFill="1" applyBorder="1"/>
    <xf numFmtId="0" fontId="0" fillId="0" borderId="5" xfId="0" applyFont="1" applyFill="1" applyBorder="1"/>
    <xf numFmtId="0" fontId="0" fillId="0" borderId="5" xfId="0" applyBorder="1"/>
    <xf numFmtId="0" fontId="0" fillId="0" borderId="6" xfId="0" applyBorder="1"/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Fill="1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7" xfId="0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38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5DDBF-3999-4FEF-9521-BA20C6DF01B7}" name="Table1" displayName="Table1" ref="L1:AD20" totalsRowShown="0" headerRowDxfId="17" tableBorderDxfId="37">
  <tableColumns count="19">
    <tableColumn id="1" xr3:uid="{645FFEA1-E0FB-4425-88FA-39F7A292C2E3}" name="BRAND" dataDxfId="36"/>
    <tableColumn id="2" xr3:uid="{5EEC23E2-A967-430D-B325-0949661E3AC8}" name="Flas Fill" dataDxfId="35"/>
    <tableColumn id="3" xr3:uid="{5954C8A6-2EA6-4F70-802A-E96E331304B7}" name="CITY STATE" dataDxfId="34"/>
    <tableColumn id="4" xr3:uid="{3E49B1F8-BE86-471C-BD51-1ED8E6DDD9E8}" name="Left" dataDxfId="33">
      <calculatedColumnFormula>LEFT(N2,5)</calculatedColumnFormula>
    </tableColumn>
    <tableColumn id="5" xr3:uid="{52CA5D42-1426-48E5-8B8D-6098AC44B9C1}" name="Mid" dataDxfId="32">
      <calculatedColumnFormula>MID(N2,3,4)</calculatedColumnFormula>
    </tableColumn>
    <tableColumn id="6" xr3:uid="{9F0C1836-5CCD-4216-950C-C47FEFF1CF8D}" name="Right" dataDxfId="31">
      <calculatedColumnFormula>RIGHT(N2,5)</calculatedColumnFormula>
    </tableColumn>
    <tableColumn id="7" xr3:uid="{51F1B70F-1ABE-4F03-8060-EE42374F2992}" name="LEN" dataDxfId="30">
      <calculatedColumnFormula>LEN(N2)</calculatedColumnFormula>
    </tableColumn>
    <tableColumn id="8" xr3:uid="{741330FA-19E2-43DC-8B1B-6182EE77D40B}" name="Trim" dataDxfId="29">
      <calculatedColumnFormula>TRIM(N2)</calculatedColumnFormula>
    </tableColumn>
    <tableColumn id="9" xr3:uid="{44DCAC25-8936-41F6-88AA-377516BFAF7E}" name="LEN2" dataDxfId="28">
      <calculatedColumnFormula>LEN(S2)</calculatedColumnFormula>
    </tableColumn>
    <tableColumn id="10" xr3:uid="{708A1044-BCEA-4BB3-9B7D-8515CAD0EB93}" name="Upper" dataDxfId="27">
      <calculatedColumnFormula>UPPER(M2)</calculatedColumnFormula>
    </tableColumn>
    <tableColumn id="11" xr3:uid="{2CE71CA3-9FA5-41F5-9E80-52637C9C0793}" name="Lower" dataDxfId="26">
      <calculatedColumnFormula>LOWER(I2)</calculatedColumnFormula>
    </tableColumn>
    <tableColumn id="12" xr3:uid="{514803B8-0B82-4DC4-B779-61A5C10B3936}" name="Proper" dataDxfId="25">
      <calculatedColumnFormula>PROPER(V2)</calculatedColumnFormula>
    </tableColumn>
    <tableColumn id="13" xr3:uid="{95291D07-53B6-4BC7-9A10-204B9BF92DCE}" name="Concat" dataDxfId="24">
      <calculatedColumnFormula>_xlfn.CONCAT(Q2,U2)</calculatedColumnFormula>
    </tableColumn>
    <tableColumn id="14" xr3:uid="{551C6712-0DB6-42C2-99E2-1AFA87AEDCA9}" name="Concat 2 " dataDxfId="23">
      <calculatedColumnFormula>_xlfn.CONCAT(Q2:Q3)</calculatedColumnFormula>
    </tableColumn>
    <tableColumn id="15" xr3:uid="{7DED8788-D1AA-4F95-AD23-6F0EA7160B41}" name="Concatenate" dataDxfId="22">
      <calculatedColumnFormula>CONCATENATE(P2, U2)</calculatedColumnFormula>
    </tableColumn>
    <tableColumn id="16" xr3:uid="{CF5B2F79-0DA8-4488-B1C4-E2747C4154E2}" name="Textjoin" dataDxfId="21">
      <calculatedColumnFormula>_xlfn.TEXTJOIN(" ","True",U2,Q2)</calculatedColumnFormula>
    </tableColumn>
    <tableColumn id="17" xr3:uid="{12FE25B3-6161-46CB-8A5A-2CAB1046B2D4}" name="Find" dataDxfId="20">
      <calculatedColumnFormula>FIND("E",S2)</calculatedColumnFormula>
    </tableColumn>
    <tableColumn id="18" xr3:uid="{352504FD-466F-4F93-94AC-01BEA67A70D5}" name="Search" dataDxfId="19">
      <calculatedColumnFormula>SEARCH("e",Y2)</calculatedColumnFormula>
    </tableColumn>
    <tableColumn id="19" xr3:uid="{B4CF8A4F-8DFD-4DF9-9E88-B3D895F451B6}" name="Replace" dataDxfId="18">
      <calculatedColumnFormula>REPLACE(W2,1,2,"P")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E35D3-3627-41CA-A89E-E7F6A37CF5F2}" name="Table2" displayName="Table2" ref="A1:O11" totalsRowShown="0" headerRowDxfId="14" tableBorderDxfId="13">
  <tableColumns count="15">
    <tableColumn id="1" xr3:uid="{4B878600-8D41-4AEF-B825-B8C8D76C17C6}" name="Emp_ID" dataDxfId="12"/>
    <tableColumn id="2" xr3:uid="{F684D7F0-62F4-4CF7-8622-20DC3AD11821}" name="Full_Name" dataDxfId="11"/>
    <tableColumn id="3" xr3:uid="{2613C3D0-F179-4C83-A5F9-B8BDF6822316}" name="Email" dataDxfId="10" dataCellStyle="Hyperlink"/>
    <tableColumn id="4" xr3:uid="{1C423965-D79D-4D77-A971-14D222E0CD87}" name="Phone" dataDxfId="9"/>
    <tableColumn id="5" xr3:uid="{66B5CE68-7B64-4EC9-870B-3EFE58502100}" name="Department" dataDxfId="8"/>
    <tableColumn id="6" xr3:uid="{03E2FD23-3008-4E86-B699-651AAA5C1827}" name="Employee_Code" dataDxfId="7"/>
    <tableColumn id="7" xr3:uid="{FE3AAAF4-B41B-4F84-9EF2-086CC1144A91}" name="Location" dataDxfId="6"/>
    <tableColumn id="8" xr3:uid="{FC63756E-4877-4D8B-8C5D-0D46E96C763F}" name="Salary" dataDxfId="5"/>
    <tableColumn id="9" xr3:uid="{68C17485-4BCB-4047-8D90-1CD2D18B0BBC}" name="Frist Name" dataDxfId="4"/>
    <tableColumn id="10" xr3:uid="{616F15CA-2AF6-4B98-BB67-9B0EF29B4153}" name="Last Name" dataDxfId="3"/>
    <tableColumn id="11" xr3:uid="{C372ECF1-C04F-4DCD-810C-565098B0A172}" name="Last 4 Digit">
      <calculatedColumnFormula>RIGHT(D2,4)</calculatedColumnFormula>
    </tableColumn>
    <tableColumn id="12" xr3:uid="{71DE5ADD-5C4B-487D-8A2D-9833476A65F4}" name="Frist 3 Char">
      <calculatedColumnFormula>LEFT(F2,3)</calculatedColumnFormula>
    </tableColumn>
    <tableColumn id="13" xr3:uid="{C13926D4-5A02-42D2-BE22-0600DF9CBD92}" name="Employee Number" dataDxfId="2"/>
    <tableColumn id="14" xr3:uid="{C53967B5-A248-4F61-8D21-3203B20FEC17}" name="City Code"/>
    <tableColumn id="15" xr3:uid="{DF587C87-2295-40DE-8E4F-2E7B4EFA512B}" name="Count Char">
      <calculatedColumnFormula>LEN(B2)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2FEA50-C5E9-4569-B040-90B8F5B012C1}" name="Table3" displayName="Table3" ref="P1:R11" totalsRowShown="0" headerRowDxfId="1">
  <tableColumns count="3">
    <tableColumn id="1" xr3:uid="{71693E66-1498-45E6-BD5C-056B0B49F276}" name="Upper Name">
      <calculatedColumnFormula>UPPER(B2)</calculatedColumnFormula>
    </tableColumn>
    <tableColumn id="2" xr3:uid="{C5A4E7CB-0A19-40DB-BE1F-69095E8B282F}" name="Last  7 Text">
      <calculatedColumnFormula>RIGHT(Table2[[#This Row],[Employee_Code]],7)</calculatedColumnFormula>
    </tableColumn>
    <tableColumn id="3" xr3:uid="{D2687C6C-0B09-47FE-89CB-EFEB1AB356D7}" name="Employ Number 2" dataDxfId="0">
      <calculatedColumnFormula>LEFT(Q2,3)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anya.bose@gmail.com" TargetMode="External"/><Relationship Id="rId3" Type="http://schemas.openxmlformats.org/officeDocument/2006/relationships/hyperlink" Target="mailto:amit.roy@gmail.com" TargetMode="External"/><Relationship Id="rId7" Type="http://schemas.openxmlformats.org/officeDocument/2006/relationships/hyperlink" Target="mailto:rohan.paul@gmail.com" TargetMode="External"/><Relationship Id="rId12" Type="http://schemas.openxmlformats.org/officeDocument/2006/relationships/table" Target="../tables/table3.xml"/><Relationship Id="rId2" Type="http://schemas.openxmlformats.org/officeDocument/2006/relationships/hyperlink" Target="mailto:priya.sen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neha.gupta@yahoo.com" TargetMode="External"/><Relationship Id="rId11" Type="http://schemas.openxmlformats.org/officeDocument/2006/relationships/table" Target="../tables/table2.xml"/><Relationship Id="rId5" Type="http://schemas.openxmlformats.org/officeDocument/2006/relationships/hyperlink" Target="mailto:arjun.mehta@gmail.com" TargetMode="External"/><Relationship Id="rId10" Type="http://schemas.openxmlformats.org/officeDocument/2006/relationships/hyperlink" Target="mailto:pooja.das@gmail.com" TargetMode="External"/><Relationship Id="rId4" Type="http://schemas.openxmlformats.org/officeDocument/2006/relationships/hyperlink" Target="mailto:sneha.das@outlook.com" TargetMode="External"/><Relationship Id="rId9" Type="http://schemas.openxmlformats.org/officeDocument/2006/relationships/hyperlink" Target="mailto:karan.sing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6395-5375-44C0-A3FE-BD8F87C2DEE4}">
  <dimension ref="A1:AD20"/>
  <sheetViews>
    <sheetView tabSelected="1" topLeftCell="K1" workbookViewId="0">
      <selection activeCell="M2" sqref="M2"/>
    </sheetView>
  </sheetViews>
  <sheetFormatPr defaultRowHeight="14.5" x14ac:dyDescent="0.35"/>
  <cols>
    <col min="3" max="3" width="10.1796875" bestFit="1" customWidth="1"/>
    <col min="4" max="4" width="10.08984375" bestFit="1" customWidth="1"/>
    <col min="6" max="6" width="11.6328125" bestFit="1" customWidth="1"/>
    <col min="7" max="7" width="12.26953125" bestFit="1" customWidth="1"/>
    <col min="8" max="8" width="15.54296875" bestFit="1" customWidth="1"/>
    <col min="9" max="9" width="15.453125" bestFit="1" customWidth="1"/>
    <col min="10" max="10" width="12.90625" bestFit="1" customWidth="1"/>
    <col min="14" max="14" width="23.6328125" bestFit="1" customWidth="1"/>
    <col min="19" max="19" width="23.6328125" bestFit="1" customWidth="1"/>
    <col min="22" max="22" width="19.81640625" bestFit="1" customWidth="1"/>
    <col min="23" max="23" width="20.1796875" bestFit="1" customWidth="1"/>
    <col min="24" max="24" width="10.36328125" bestFit="1" customWidth="1"/>
    <col min="25" max="25" width="13.26953125" bestFit="1" customWidth="1"/>
    <col min="26" max="26" width="13.453125" customWidth="1"/>
    <col min="27" max="27" width="10.81640625" bestFit="1" customWidth="1"/>
    <col min="30" max="30" width="12.7265625" customWidth="1"/>
  </cols>
  <sheetData>
    <row r="1" spans="1:3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6" t="s">
        <v>81</v>
      </c>
      <c r="M1" s="6" t="s">
        <v>91</v>
      </c>
      <c r="N1" s="5" t="s">
        <v>57</v>
      </c>
      <c r="O1" s="5" t="s">
        <v>69</v>
      </c>
      <c r="P1" s="5" t="s">
        <v>82</v>
      </c>
      <c r="Q1" s="5" t="s">
        <v>83</v>
      </c>
      <c r="R1" s="5" t="s">
        <v>84</v>
      </c>
      <c r="S1" s="5" t="s">
        <v>86</v>
      </c>
      <c r="T1" s="5" t="s">
        <v>87</v>
      </c>
      <c r="U1" s="5" t="s">
        <v>92</v>
      </c>
      <c r="V1" s="5" t="s">
        <v>93</v>
      </c>
      <c r="W1" s="5" t="s">
        <v>94</v>
      </c>
      <c r="X1" s="5" t="s">
        <v>95</v>
      </c>
      <c r="Y1" s="5" t="s">
        <v>96</v>
      </c>
      <c r="Z1" s="5" t="s">
        <v>97</v>
      </c>
      <c r="AA1" s="5" t="s">
        <v>98</v>
      </c>
      <c r="AB1" s="5" t="s">
        <v>99</v>
      </c>
      <c r="AC1" s="5" t="s">
        <v>100</v>
      </c>
      <c r="AD1" s="7" t="s">
        <v>101</v>
      </c>
    </row>
    <row r="2" spans="1:30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8" t="s">
        <v>17</v>
      </c>
      <c r="L2" s="3" t="s">
        <v>52</v>
      </c>
      <c r="M2" s="3" t="s">
        <v>70</v>
      </c>
      <c r="N2" s="4" t="s">
        <v>58</v>
      </c>
      <c r="O2" s="1" t="str">
        <f>LEFT(N2,5)</f>
        <v>CHENN</v>
      </c>
      <c r="P2" s="1" t="str">
        <f>MID(N2,3,4)</f>
        <v>ENNA</v>
      </c>
      <c r="Q2" s="1" t="str">
        <f>RIGHT(N2,5)</f>
        <v>DELHI</v>
      </c>
      <c r="R2" s="1">
        <f>LEN(N2)</f>
        <v>13</v>
      </c>
      <c r="S2" s="1" t="str">
        <f>TRIM(N2)</f>
        <v>CHENNAI DELHI</v>
      </c>
      <c r="T2" s="1">
        <f>LEN(S2)</f>
        <v>13</v>
      </c>
      <c r="U2" s="1" t="str">
        <f>UPPER(M2)</f>
        <v>MIX</v>
      </c>
      <c r="V2" s="1" t="str">
        <f>LOWER(I2)</f>
        <v>home &amp; kitchen</v>
      </c>
      <c r="W2" s="1" t="str">
        <f>PROPER(V2)</f>
        <v>Home &amp; Kitchen</v>
      </c>
      <c r="X2" s="1" t="str">
        <f>_xlfn.CONCAT(Q2,U2)</f>
        <v>DELHIMIX</v>
      </c>
      <c r="Y2" s="1" t="str">
        <f>_xlfn.CONCAT(Q2:Q3)</f>
        <v>DELHI NADU</v>
      </c>
      <c r="Z2" s="1" t="str">
        <f>CONCATENATE(P2, U2)</f>
        <v>ENNAMIX</v>
      </c>
      <c r="AA2" s="1" t="str">
        <f>_xlfn.TEXTJOIN(" ","True",U2,Q2)</f>
        <v>MIX DELHI</v>
      </c>
      <c r="AB2" s="1">
        <f>AER112</f>
        <v>0</v>
      </c>
      <c r="AC2" s="1">
        <f>SEARCH("e",Y2)</f>
        <v>2</v>
      </c>
      <c r="AD2" s="8" t="str">
        <f>REPLACE(W2,1,2,"P")</f>
        <v>Pme &amp; Kitchen</v>
      </c>
    </row>
    <row r="3" spans="1:30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8" t="s">
        <v>24</v>
      </c>
      <c r="L3" s="3" t="s">
        <v>53</v>
      </c>
      <c r="M3" s="3" t="s">
        <v>71</v>
      </c>
      <c r="N3" s="4" t="s">
        <v>85</v>
      </c>
      <c r="O3" s="1" t="str">
        <f t="shared" ref="O3:O20" si="0">LEFT(N3,5)</f>
        <v xml:space="preserve">PUNE </v>
      </c>
      <c r="P3" s="1" t="str">
        <f>MID(N3,3,4)</f>
        <v xml:space="preserve">NE  </v>
      </c>
      <c r="Q3" s="1" t="str">
        <f>RIGHT(N3,5)</f>
        <v xml:space="preserve"> NADU</v>
      </c>
      <c r="R3" s="1">
        <f>LEN(N3)</f>
        <v>17</v>
      </c>
      <c r="S3" s="1" t="str">
        <f>TRIM(N3)</f>
        <v>PUNE TAMIL NADU</v>
      </c>
      <c r="T3" s="1">
        <f t="shared" ref="T3:T20" si="1">LEN(S3)</f>
        <v>15</v>
      </c>
      <c r="U3" s="1" t="str">
        <f t="shared" ref="U3:U20" si="2">UPPER(M3)</f>
        <v>FOO</v>
      </c>
      <c r="V3" s="1" t="str">
        <f t="shared" ref="V3:V20" si="3">LOWER(I3)</f>
        <v>sports</v>
      </c>
      <c r="W3" s="1" t="str">
        <f t="shared" ref="W3:W20" si="4">PROPER(V3)</f>
        <v>Sports</v>
      </c>
      <c r="X3" s="1" t="str">
        <f t="shared" ref="X3:X20" si="5">_xlfn.CONCAT(Q3,U3)</f>
        <v xml:space="preserve"> NADUFOO</v>
      </c>
      <c r="Y3" s="1" t="str">
        <f t="shared" ref="Y3:Y20" si="6">_xlfn.CONCAT(Q3:Q4)</f>
        <v xml:space="preserve"> NADUENGAL</v>
      </c>
      <c r="Z3" s="1" t="str">
        <f t="shared" ref="Z3:Z20" si="7">CONCATENATE(P3, U3)</f>
        <v>NE  FOO</v>
      </c>
      <c r="AA3" s="1" t="str">
        <f t="shared" ref="AA3:AA20" si="8">_xlfn.TEXTJOIN(" ","True",U3,Q3)</f>
        <v>FOO  NADU</v>
      </c>
      <c r="AB3" s="1">
        <f t="shared" ref="AB3:AB20" si="9">FIND("E",S3)</f>
        <v>4</v>
      </c>
      <c r="AC3" s="1">
        <f t="shared" ref="AC3:AC20" si="10">SEARCH("e",Y3)</f>
        <v>6</v>
      </c>
      <c r="AD3" s="8" t="str">
        <f t="shared" ref="AD3:AD20" si="11">REPLACE(W3,1,2,"P")</f>
        <v>Ports</v>
      </c>
    </row>
    <row r="4" spans="1:30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11</v>
      </c>
      <c r="F4" s="1" t="s">
        <v>25</v>
      </c>
      <c r="G4" s="1" t="s">
        <v>26</v>
      </c>
      <c r="H4" s="1" t="s">
        <v>21</v>
      </c>
      <c r="I4" s="1" t="s">
        <v>27</v>
      </c>
      <c r="J4" s="1" t="s">
        <v>28</v>
      </c>
      <c r="K4" s="8" t="s">
        <v>29</v>
      </c>
      <c r="L4" s="3" t="s">
        <v>54</v>
      </c>
      <c r="M4" s="3" t="s">
        <v>72</v>
      </c>
      <c r="N4" s="4" t="s">
        <v>59</v>
      </c>
      <c r="O4" s="1" t="str">
        <f t="shared" si="0"/>
        <v>CHENN</v>
      </c>
      <c r="P4" s="1" t="str">
        <f>MID(N4,3,4)</f>
        <v>ENNA</v>
      </c>
      <c r="Q4" s="1" t="str">
        <f>RIGHT(N4,5)</f>
        <v>ENGAL</v>
      </c>
      <c r="R4" s="1">
        <f>LEN(N4)</f>
        <v>19</v>
      </c>
      <c r="S4" s="1" t="str">
        <f>TRIM(N4)</f>
        <v>CHENNAI WEST BENGAL</v>
      </c>
      <c r="T4" s="1">
        <f t="shared" si="1"/>
        <v>19</v>
      </c>
      <c r="U4" s="1" t="str">
        <f t="shared" si="2"/>
        <v>SNE</v>
      </c>
      <c r="V4" s="1" t="str">
        <f t="shared" si="3"/>
        <v>fashion</v>
      </c>
      <c r="W4" s="1" t="str">
        <f t="shared" si="4"/>
        <v>Fashion</v>
      </c>
      <c r="X4" s="1" t="str">
        <f t="shared" si="5"/>
        <v>ENGALSNE</v>
      </c>
      <c r="Y4" s="1" t="str">
        <f t="shared" si="6"/>
        <v>ENGALENGAL</v>
      </c>
      <c r="Z4" s="1" t="str">
        <f t="shared" si="7"/>
        <v>ENNASNE</v>
      </c>
      <c r="AA4" s="1" t="str">
        <f t="shared" si="8"/>
        <v>SNE ENGAL</v>
      </c>
      <c r="AB4" s="1">
        <f t="shared" si="9"/>
        <v>3</v>
      </c>
      <c r="AC4" s="1">
        <f t="shared" si="10"/>
        <v>1</v>
      </c>
      <c r="AD4" s="8" t="str">
        <f t="shared" si="11"/>
        <v>Pshion</v>
      </c>
    </row>
    <row r="5" spans="1:30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30</v>
      </c>
      <c r="F5" s="1" t="s">
        <v>25</v>
      </c>
      <c r="G5" s="1" t="s">
        <v>20</v>
      </c>
      <c r="H5" s="1" t="s">
        <v>31</v>
      </c>
      <c r="I5" s="1" t="s">
        <v>22</v>
      </c>
      <c r="J5" s="1" t="s">
        <v>32</v>
      </c>
      <c r="K5" s="8" t="s">
        <v>17</v>
      </c>
      <c r="L5" s="3" t="s">
        <v>52</v>
      </c>
      <c r="M5" s="3" t="s">
        <v>73</v>
      </c>
      <c r="N5" s="4" t="s">
        <v>60</v>
      </c>
      <c r="O5" s="1" t="str">
        <f t="shared" si="0"/>
        <v>BENGA</v>
      </c>
      <c r="P5" s="1" t="str">
        <f>MID(N5,3,4)</f>
        <v>NGAL</v>
      </c>
      <c r="Q5" s="1" t="str">
        <f>RIGHT(N5,5)</f>
        <v>ENGAL</v>
      </c>
      <c r="R5" s="1">
        <f>LEN(N5)</f>
        <v>21</v>
      </c>
      <c r="S5" s="1" t="str">
        <f>TRIM(N5)</f>
        <v>BENGALURU WEST BENGAL</v>
      </c>
      <c r="T5" s="1">
        <f t="shared" si="1"/>
        <v>21</v>
      </c>
      <c r="U5" s="1" t="str">
        <f t="shared" si="2"/>
        <v>YOG</v>
      </c>
      <c r="V5" s="1" t="str">
        <f t="shared" si="3"/>
        <v>sports</v>
      </c>
      <c r="W5" s="1" t="str">
        <f t="shared" si="4"/>
        <v>Sports</v>
      </c>
      <c r="X5" s="1" t="str">
        <f t="shared" si="5"/>
        <v>ENGALYOG</v>
      </c>
      <c r="Y5" s="1" t="str">
        <f t="shared" si="6"/>
        <v xml:space="preserve">ENGALKA   </v>
      </c>
      <c r="Z5" s="1" t="str">
        <f t="shared" si="7"/>
        <v>NGALYOG</v>
      </c>
      <c r="AA5" s="1" t="str">
        <f t="shared" si="8"/>
        <v>YOG ENGAL</v>
      </c>
      <c r="AB5" s="1">
        <f t="shared" si="9"/>
        <v>2</v>
      </c>
      <c r="AC5" s="1">
        <f t="shared" si="10"/>
        <v>1</v>
      </c>
      <c r="AD5" s="8" t="str">
        <f t="shared" si="11"/>
        <v>Ports</v>
      </c>
    </row>
    <row r="6" spans="1:30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33</v>
      </c>
      <c r="F6" s="1" t="s">
        <v>34</v>
      </c>
      <c r="G6" s="1" t="s">
        <v>26</v>
      </c>
      <c r="H6" s="1" t="s">
        <v>14</v>
      </c>
      <c r="I6" s="1" t="s">
        <v>27</v>
      </c>
      <c r="J6" s="1" t="s">
        <v>35</v>
      </c>
      <c r="K6" s="8" t="s">
        <v>17</v>
      </c>
      <c r="L6" s="3" t="s">
        <v>52</v>
      </c>
      <c r="M6" s="3" t="s">
        <v>74</v>
      </c>
      <c r="N6" s="4" t="s">
        <v>88</v>
      </c>
      <c r="O6" s="1" t="str">
        <f t="shared" si="0"/>
        <v>KOLKA</v>
      </c>
      <c r="P6" s="1" t="str">
        <f>MID(N6,3,4)</f>
        <v>LKAT</v>
      </c>
      <c r="Q6" s="1" t="str">
        <f>RIGHT(N6,5)</f>
        <v xml:space="preserve">KA   </v>
      </c>
      <c r="R6" s="1">
        <f>LEN(N6)</f>
        <v>20</v>
      </c>
      <c r="S6" s="1" t="str">
        <f>TRIM(N6)</f>
        <v>KOLKATA KARNATAKA</v>
      </c>
      <c r="T6" s="1">
        <f t="shared" si="1"/>
        <v>17</v>
      </c>
      <c r="U6" s="1" t="str">
        <f t="shared" si="2"/>
        <v>JAC</v>
      </c>
      <c r="V6" s="1" t="str">
        <f t="shared" si="3"/>
        <v>fashion</v>
      </c>
      <c r="W6" s="1" t="str">
        <f t="shared" si="4"/>
        <v>Fashion</v>
      </c>
      <c r="X6" s="1" t="str">
        <f t="shared" si="5"/>
        <v>KA   JAC</v>
      </c>
      <c r="Y6" s="1" t="str">
        <f t="shared" si="6"/>
        <v>KA   NGANA</v>
      </c>
      <c r="Z6" s="1" t="str">
        <f t="shared" si="7"/>
        <v>LKATJAC</v>
      </c>
      <c r="AA6" s="1" t="str">
        <f t="shared" si="8"/>
        <v xml:space="preserve">JAC KA   </v>
      </c>
      <c r="AB6" s="1" t="e">
        <f t="shared" si="9"/>
        <v>#VALUE!</v>
      </c>
      <c r="AC6" s="1" t="e">
        <f t="shared" si="10"/>
        <v>#VALUE!</v>
      </c>
      <c r="AD6" s="8" t="str">
        <f t="shared" si="11"/>
        <v>Pshion</v>
      </c>
    </row>
    <row r="7" spans="1:30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36</v>
      </c>
      <c r="F7" s="1" t="s">
        <v>37</v>
      </c>
      <c r="G7" s="1" t="s">
        <v>20</v>
      </c>
      <c r="H7" s="1" t="s">
        <v>38</v>
      </c>
      <c r="I7" s="1" t="s">
        <v>15</v>
      </c>
      <c r="J7" s="1" t="s">
        <v>39</v>
      </c>
      <c r="K7" s="8" t="s">
        <v>29</v>
      </c>
      <c r="L7" s="3" t="s">
        <v>54</v>
      </c>
      <c r="M7" s="3" t="s">
        <v>75</v>
      </c>
      <c r="N7" s="4" t="s">
        <v>62</v>
      </c>
      <c r="O7" s="1" t="str">
        <f t="shared" si="0"/>
        <v>HYDER</v>
      </c>
      <c r="P7" s="1" t="str">
        <f>MID(N7,3,4)</f>
        <v>DERA</v>
      </c>
      <c r="Q7" s="1" t="str">
        <f>RIGHT(N7,5)</f>
        <v>NGANA</v>
      </c>
      <c r="R7" s="1">
        <f>LEN(N7)</f>
        <v>19</v>
      </c>
      <c r="S7" s="1" t="str">
        <f>TRIM(N7)</f>
        <v>HYDERABAD TELANGANA</v>
      </c>
      <c r="T7" s="1">
        <f t="shared" si="1"/>
        <v>19</v>
      </c>
      <c r="U7" s="1" t="str">
        <f t="shared" si="2"/>
        <v>BED</v>
      </c>
      <c r="V7" s="1" t="str">
        <f>LOWER(I7)</f>
        <v>home &amp; kitchen</v>
      </c>
      <c r="W7" s="1" t="str">
        <f t="shared" si="4"/>
        <v>Home &amp; Kitchen</v>
      </c>
      <c r="X7" s="1" t="str">
        <f t="shared" si="5"/>
        <v>NGANABED</v>
      </c>
      <c r="Y7" s="1" t="str">
        <f t="shared" si="6"/>
        <v>NGANANGANA</v>
      </c>
      <c r="Z7" s="1" t="str">
        <f t="shared" si="7"/>
        <v>DERABED</v>
      </c>
      <c r="AA7" s="1" t="str">
        <f t="shared" si="8"/>
        <v>BED NGANA</v>
      </c>
      <c r="AB7" s="1">
        <f t="shared" si="9"/>
        <v>4</v>
      </c>
      <c r="AC7" s="1" t="e">
        <f t="shared" si="10"/>
        <v>#VALUE!</v>
      </c>
      <c r="AD7" s="8" t="str">
        <f t="shared" si="11"/>
        <v>Pme &amp; Kitchen</v>
      </c>
    </row>
    <row r="8" spans="1:30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30</v>
      </c>
      <c r="F8" s="1" t="s">
        <v>37</v>
      </c>
      <c r="G8" s="1" t="s">
        <v>13</v>
      </c>
      <c r="H8" s="1" t="s">
        <v>40</v>
      </c>
      <c r="I8" s="1" t="s">
        <v>27</v>
      </c>
      <c r="J8" s="1" t="s">
        <v>28</v>
      </c>
      <c r="K8" s="8" t="s">
        <v>41</v>
      </c>
      <c r="L8" s="3" t="s">
        <v>55</v>
      </c>
      <c r="M8" s="3" t="s">
        <v>72</v>
      </c>
      <c r="N8" s="4" t="s">
        <v>89</v>
      </c>
      <c r="O8" s="1" t="str">
        <f t="shared" si="0"/>
        <v>BENGA</v>
      </c>
      <c r="P8" s="1" t="str">
        <f>MID(N8,3,4)</f>
        <v>NGAL</v>
      </c>
      <c r="Q8" s="1" t="str">
        <f>RIGHT(N8,5)</f>
        <v>NGANA</v>
      </c>
      <c r="R8" s="1">
        <f>LEN(N8)</f>
        <v>22</v>
      </c>
      <c r="S8" s="1" t="str">
        <f>TRIM(N8)</f>
        <v>BENGALURU TELANGANA</v>
      </c>
      <c r="T8" s="1">
        <f t="shared" si="1"/>
        <v>19</v>
      </c>
      <c r="U8" s="1" t="str">
        <f t="shared" si="2"/>
        <v>SNE</v>
      </c>
      <c r="V8" s="1" t="str">
        <f t="shared" si="3"/>
        <v>fashion</v>
      </c>
      <c r="W8" s="1" t="str">
        <f t="shared" si="4"/>
        <v>Fashion</v>
      </c>
      <c r="X8" s="1" t="str">
        <f t="shared" si="5"/>
        <v>NGANASNE</v>
      </c>
      <c r="Y8" s="1" t="str">
        <f t="shared" si="6"/>
        <v>NGANADELHI</v>
      </c>
      <c r="Z8" s="1" t="str">
        <f t="shared" si="7"/>
        <v>NGALSNE</v>
      </c>
      <c r="AA8" s="1" t="str">
        <f t="shared" si="8"/>
        <v>SNE NGANA</v>
      </c>
      <c r="AB8" s="1">
        <f t="shared" si="9"/>
        <v>2</v>
      </c>
      <c r="AC8" s="1">
        <f t="shared" si="10"/>
        <v>7</v>
      </c>
      <c r="AD8" s="8" t="str">
        <f t="shared" si="11"/>
        <v>Pshion</v>
      </c>
    </row>
    <row r="9" spans="1:30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42</v>
      </c>
      <c r="F9" s="1" t="s">
        <v>12</v>
      </c>
      <c r="G9" s="1" t="s">
        <v>20</v>
      </c>
      <c r="H9" s="1" t="s">
        <v>14</v>
      </c>
      <c r="I9" s="1" t="s">
        <v>27</v>
      </c>
      <c r="J9" s="1" t="s">
        <v>28</v>
      </c>
      <c r="K9" s="8" t="s">
        <v>43</v>
      </c>
      <c r="L9" s="3" t="s">
        <v>56</v>
      </c>
      <c r="M9" s="3" t="s">
        <v>72</v>
      </c>
      <c r="N9" s="4" t="s">
        <v>63</v>
      </c>
      <c r="O9" s="1" t="str">
        <f t="shared" si="0"/>
        <v>MUMBA</v>
      </c>
      <c r="P9" s="1" t="str">
        <f>MID(N9,3,4)</f>
        <v>MBAI</v>
      </c>
      <c r="Q9" s="1" t="str">
        <f>RIGHT(N9,5)</f>
        <v>DELHI</v>
      </c>
      <c r="R9" s="1">
        <f>LEN(N9)</f>
        <v>12</v>
      </c>
      <c r="S9" s="1" t="str">
        <f>TRIM(N9)</f>
        <v>MUMBAI DELHI</v>
      </c>
      <c r="T9" s="1">
        <f t="shared" si="1"/>
        <v>12</v>
      </c>
      <c r="U9" s="1" t="str">
        <f t="shared" si="2"/>
        <v>SNE</v>
      </c>
      <c r="V9" s="1" t="str">
        <f t="shared" si="3"/>
        <v>fashion</v>
      </c>
      <c r="W9" s="1" t="str">
        <f t="shared" si="4"/>
        <v>Fashion</v>
      </c>
      <c r="X9" s="1" t="str">
        <f t="shared" si="5"/>
        <v>DELHISNE</v>
      </c>
      <c r="Y9" s="1" t="str">
        <f t="shared" si="6"/>
        <v>DELHIENGAL</v>
      </c>
      <c r="Z9" s="1" t="str">
        <f t="shared" si="7"/>
        <v>MBAISNE</v>
      </c>
      <c r="AA9" s="1" t="str">
        <f t="shared" si="8"/>
        <v>SNE DELHI</v>
      </c>
      <c r="AB9" s="1">
        <f t="shared" si="9"/>
        <v>9</v>
      </c>
      <c r="AC9" s="1">
        <f t="shared" si="10"/>
        <v>2</v>
      </c>
      <c r="AD9" s="8" t="str">
        <f t="shared" si="11"/>
        <v>Pshion</v>
      </c>
    </row>
    <row r="10" spans="1:30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11</v>
      </c>
      <c r="F10" s="1" t="s">
        <v>25</v>
      </c>
      <c r="G10" s="1" t="s">
        <v>20</v>
      </c>
      <c r="H10" s="1" t="s">
        <v>21</v>
      </c>
      <c r="I10" s="1" t="s">
        <v>27</v>
      </c>
      <c r="J10" s="1" t="s">
        <v>44</v>
      </c>
      <c r="K10" s="8" t="s">
        <v>24</v>
      </c>
      <c r="L10" s="3" t="s">
        <v>53</v>
      </c>
      <c r="M10" s="3" t="s">
        <v>76</v>
      </c>
      <c r="N10" s="4" t="s">
        <v>59</v>
      </c>
      <c r="O10" s="1" t="str">
        <f t="shared" si="0"/>
        <v>CHENN</v>
      </c>
      <c r="P10" s="1" t="str">
        <f>MID(N10,3,4)</f>
        <v>ENNA</v>
      </c>
      <c r="Q10" s="1" t="str">
        <f>RIGHT(N10,5)</f>
        <v>ENGAL</v>
      </c>
      <c r="R10" s="1">
        <f>LEN(N10)</f>
        <v>19</v>
      </c>
      <c r="S10" s="1" t="str">
        <f>TRIM(N10)</f>
        <v>CHENNAI WEST BENGAL</v>
      </c>
      <c r="T10" s="1">
        <f t="shared" si="1"/>
        <v>19</v>
      </c>
      <c r="U10" s="1" t="str">
        <f t="shared" si="2"/>
        <v>T-S</v>
      </c>
      <c r="V10" s="1" t="str">
        <f t="shared" si="3"/>
        <v>fashion</v>
      </c>
      <c r="W10" s="1" t="str">
        <f t="shared" si="4"/>
        <v>Fashion</v>
      </c>
      <c r="X10" s="1" t="str">
        <f t="shared" si="5"/>
        <v>ENGALT-S</v>
      </c>
      <c r="Y10" s="1" t="str">
        <f t="shared" si="6"/>
        <v>ENGALATAKA</v>
      </c>
      <c r="Z10" s="1" t="str">
        <f t="shared" si="7"/>
        <v>ENNAT-S</v>
      </c>
      <c r="AA10" s="1" t="str">
        <f t="shared" si="8"/>
        <v>T-S ENGAL</v>
      </c>
      <c r="AB10" s="1">
        <f t="shared" si="9"/>
        <v>3</v>
      </c>
      <c r="AC10" s="1">
        <f t="shared" si="10"/>
        <v>1</v>
      </c>
      <c r="AD10" s="8" t="str">
        <f t="shared" si="11"/>
        <v>Pshion</v>
      </c>
    </row>
    <row r="11" spans="1:30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30</v>
      </c>
      <c r="F11" s="1" t="s">
        <v>34</v>
      </c>
      <c r="G11" s="1" t="s">
        <v>20</v>
      </c>
      <c r="H11" s="1" t="s">
        <v>31</v>
      </c>
      <c r="I11" s="1" t="s">
        <v>45</v>
      </c>
      <c r="J11" s="1" t="s">
        <v>46</v>
      </c>
      <c r="K11" s="8" t="s">
        <v>43</v>
      </c>
      <c r="L11" s="3" t="s">
        <v>56</v>
      </c>
      <c r="M11" s="3" t="s">
        <v>77</v>
      </c>
      <c r="N11" s="4" t="s">
        <v>64</v>
      </c>
      <c r="O11" s="1" t="str">
        <f t="shared" si="0"/>
        <v>BENGA</v>
      </c>
      <c r="P11" s="1" t="str">
        <f>MID(N11,3,4)</f>
        <v>NGAL</v>
      </c>
      <c r="Q11" s="1" t="str">
        <f>RIGHT(N11,5)</f>
        <v>ATAKA</v>
      </c>
      <c r="R11" s="1">
        <f>LEN(N11)</f>
        <v>19</v>
      </c>
      <c r="S11" s="1" t="str">
        <f>TRIM(N11)</f>
        <v>BENGALURU KARNATAKA</v>
      </c>
      <c r="T11" s="1">
        <f t="shared" si="1"/>
        <v>19</v>
      </c>
      <c r="U11" s="1" t="str">
        <f t="shared" si="2"/>
        <v>HEA</v>
      </c>
      <c r="V11" s="1" t="str">
        <f t="shared" si="3"/>
        <v>electronics</v>
      </c>
      <c r="W11" s="1" t="str">
        <f t="shared" si="4"/>
        <v>Electronics</v>
      </c>
      <c r="X11" s="1" t="str">
        <f t="shared" si="5"/>
        <v>ATAKAHEA</v>
      </c>
      <c r="Y11" s="1" t="str">
        <f t="shared" si="6"/>
        <v>ATAKAATAKA</v>
      </c>
      <c r="Z11" s="1" t="str">
        <f t="shared" si="7"/>
        <v>NGALHEA</v>
      </c>
      <c r="AA11" s="1" t="str">
        <f t="shared" si="8"/>
        <v>HEA ATAKA</v>
      </c>
      <c r="AB11" s="1">
        <f t="shared" si="9"/>
        <v>2</v>
      </c>
      <c r="AC11" s="1" t="e">
        <f t="shared" si="10"/>
        <v>#VALUE!</v>
      </c>
      <c r="AD11" s="8" t="str">
        <f t="shared" si="11"/>
        <v>Pectronics</v>
      </c>
    </row>
    <row r="12" spans="1:30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30</v>
      </c>
      <c r="F12" s="1" t="s">
        <v>34</v>
      </c>
      <c r="G12" s="1" t="s">
        <v>13</v>
      </c>
      <c r="H12" s="1" t="s">
        <v>31</v>
      </c>
      <c r="I12" s="1" t="s">
        <v>45</v>
      </c>
      <c r="J12" s="1" t="s">
        <v>46</v>
      </c>
      <c r="K12" s="8" t="s">
        <v>29</v>
      </c>
      <c r="L12" s="3" t="s">
        <v>54</v>
      </c>
      <c r="M12" s="3" t="s">
        <v>77</v>
      </c>
      <c r="N12" s="4" t="s">
        <v>64</v>
      </c>
      <c r="O12" s="1" t="str">
        <f t="shared" si="0"/>
        <v>BENGA</v>
      </c>
      <c r="P12" s="1" t="str">
        <f>MID(N12,3,4)</f>
        <v>NGAL</v>
      </c>
      <c r="Q12" s="1" t="str">
        <f>RIGHT(N12,5)</f>
        <v>ATAKA</v>
      </c>
      <c r="R12" s="1">
        <f>LEN(N12)</f>
        <v>19</v>
      </c>
      <c r="S12" s="1" t="str">
        <f>TRIM(N12)</f>
        <v>BENGALURU KARNATAKA</v>
      </c>
      <c r="T12" s="1">
        <f t="shared" si="1"/>
        <v>19</v>
      </c>
      <c r="U12" s="1" t="str">
        <f t="shared" si="2"/>
        <v>HEA</v>
      </c>
      <c r="V12" s="1" t="str">
        <f t="shared" si="3"/>
        <v>electronics</v>
      </c>
      <c r="W12" s="1" t="str">
        <f t="shared" si="4"/>
        <v>Electronics</v>
      </c>
      <c r="X12" s="1" t="str">
        <f t="shared" si="5"/>
        <v>ATAKAHEA</v>
      </c>
      <c r="Y12" s="1" t="str">
        <f t="shared" si="6"/>
        <v>ATAKA NADU</v>
      </c>
      <c r="Z12" s="1" t="str">
        <f t="shared" si="7"/>
        <v>NGALHEA</v>
      </c>
      <c r="AA12" s="1" t="str">
        <f t="shared" si="8"/>
        <v>HEA ATAKA</v>
      </c>
      <c r="AB12" s="1">
        <f t="shared" si="9"/>
        <v>2</v>
      </c>
      <c r="AC12" s="1" t="e">
        <f t="shared" si="10"/>
        <v>#VALUE!</v>
      </c>
      <c r="AD12" s="8" t="str">
        <f t="shared" si="11"/>
        <v>Pectronics</v>
      </c>
    </row>
    <row r="13" spans="1:30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42</v>
      </c>
      <c r="F13" s="1" t="s">
        <v>19</v>
      </c>
      <c r="G13" s="1" t="s">
        <v>20</v>
      </c>
      <c r="H13" s="1" t="s">
        <v>40</v>
      </c>
      <c r="I13" s="1" t="s">
        <v>45</v>
      </c>
      <c r="J13" s="1" t="s">
        <v>47</v>
      </c>
      <c r="K13" s="8" t="s">
        <v>17</v>
      </c>
      <c r="L13" s="3" t="s">
        <v>52</v>
      </c>
      <c r="M13" s="3" t="s">
        <v>78</v>
      </c>
      <c r="N13" s="4" t="s">
        <v>90</v>
      </c>
      <c r="O13" s="1" t="str">
        <f t="shared" si="0"/>
        <v>MUMBA</v>
      </c>
      <c r="P13" s="1" t="str">
        <f>MID(N13,3,4)</f>
        <v>MBAI</v>
      </c>
      <c r="Q13" s="1" t="str">
        <f>RIGHT(N13,5)</f>
        <v xml:space="preserve"> NADU</v>
      </c>
      <c r="R13" s="1">
        <f>LEN(N13)</f>
        <v>23</v>
      </c>
      <c r="S13" s="1" t="str">
        <f>TRIM(N13)</f>
        <v>MUMBAI TAMIL NADU</v>
      </c>
      <c r="T13" s="1">
        <f t="shared" si="1"/>
        <v>17</v>
      </c>
      <c r="U13" s="1" t="str">
        <f t="shared" si="2"/>
        <v>SMA</v>
      </c>
      <c r="V13" s="1" t="str">
        <f t="shared" si="3"/>
        <v>electronics</v>
      </c>
      <c r="W13" s="1" t="str">
        <f t="shared" si="4"/>
        <v>Electronics</v>
      </c>
      <c r="X13" s="1" t="str">
        <f t="shared" si="5"/>
        <v xml:space="preserve"> NADUSMA</v>
      </c>
      <c r="Y13" s="1" t="str">
        <f t="shared" si="6"/>
        <v xml:space="preserve"> NADU NADU</v>
      </c>
      <c r="Z13" s="1" t="str">
        <f t="shared" si="7"/>
        <v>MBAISMA</v>
      </c>
      <c r="AA13" s="1" t="str">
        <f t="shared" si="8"/>
        <v>SMA  NADU</v>
      </c>
      <c r="AB13" s="1" t="e">
        <f t="shared" si="9"/>
        <v>#VALUE!</v>
      </c>
      <c r="AC13" s="1" t="e">
        <f t="shared" si="10"/>
        <v>#VALUE!</v>
      </c>
      <c r="AD13" s="8" t="str">
        <f t="shared" si="11"/>
        <v>Pectronics</v>
      </c>
    </row>
    <row r="14" spans="1:30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12</v>
      </c>
      <c r="F14" s="1" t="s">
        <v>19</v>
      </c>
      <c r="G14" s="1" t="s">
        <v>13</v>
      </c>
      <c r="H14" s="1" t="s">
        <v>31</v>
      </c>
      <c r="I14" s="1" t="s">
        <v>15</v>
      </c>
      <c r="J14" s="1" t="s">
        <v>39</v>
      </c>
      <c r="K14" s="8" t="s">
        <v>17</v>
      </c>
      <c r="L14" s="3" t="s">
        <v>52</v>
      </c>
      <c r="M14" s="3" t="s">
        <v>75</v>
      </c>
      <c r="N14" s="4" t="s">
        <v>65</v>
      </c>
      <c r="O14" s="1" t="str">
        <f t="shared" si="0"/>
        <v>DELHI</v>
      </c>
      <c r="P14" s="1" t="str">
        <f>MID(N14,3,4)</f>
        <v xml:space="preserve">LHI </v>
      </c>
      <c r="Q14" s="1" t="str">
        <f>RIGHT(N14,5)</f>
        <v xml:space="preserve"> NADU</v>
      </c>
      <c r="R14" s="1">
        <f>LEN(N14)</f>
        <v>16</v>
      </c>
      <c r="S14" s="1" t="str">
        <f>TRIM(N14)</f>
        <v>DELHI TAMIL NADU</v>
      </c>
      <c r="T14" s="1">
        <f t="shared" si="1"/>
        <v>16</v>
      </c>
      <c r="U14" s="1" t="str">
        <f t="shared" si="2"/>
        <v>BED</v>
      </c>
      <c r="V14" s="1" t="str">
        <f t="shared" si="3"/>
        <v>home &amp; kitchen</v>
      </c>
      <c r="W14" s="1" t="str">
        <f t="shared" si="4"/>
        <v>Home &amp; Kitchen</v>
      </c>
      <c r="X14" s="1" t="str">
        <f t="shared" si="5"/>
        <v xml:space="preserve"> NADUBED</v>
      </c>
      <c r="Y14" s="1" t="str">
        <f t="shared" si="6"/>
        <v xml:space="preserve"> NADUATAKA</v>
      </c>
      <c r="Z14" s="1" t="str">
        <f t="shared" si="7"/>
        <v>LHI BED</v>
      </c>
      <c r="AA14" s="1" t="str">
        <f t="shared" si="8"/>
        <v>BED  NADU</v>
      </c>
      <c r="AB14" s="1">
        <f t="shared" si="9"/>
        <v>2</v>
      </c>
      <c r="AC14" s="1" t="e">
        <f t="shared" si="10"/>
        <v>#VALUE!</v>
      </c>
      <c r="AD14" s="8" t="str">
        <f t="shared" si="11"/>
        <v>Pme &amp; Kitchen</v>
      </c>
    </row>
    <row r="15" spans="1:30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33</v>
      </c>
      <c r="F15" s="1" t="s">
        <v>34</v>
      </c>
      <c r="G15" s="1" t="s">
        <v>26</v>
      </c>
      <c r="H15" s="1" t="s">
        <v>31</v>
      </c>
      <c r="I15" s="1" t="s">
        <v>22</v>
      </c>
      <c r="J15" s="1" t="s">
        <v>32</v>
      </c>
      <c r="K15" s="8" t="s">
        <v>24</v>
      </c>
      <c r="L15" s="3" t="s">
        <v>53</v>
      </c>
      <c r="M15" s="3" t="s">
        <v>73</v>
      </c>
      <c r="N15" s="4" t="s">
        <v>61</v>
      </c>
      <c r="O15" s="1" t="str">
        <f t="shared" si="0"/>
        <v>KOLKA</v>
      </c>
      <c r="P15" s="1" t="str">
        <f>MID(N15,3,4)</f>
        <v>LKAT</v>
      </c>
      <c r="Q15" s="1" t="str">
        <f>RIGHT(N15,5)</f>
        <v>ATAKA</v>
      </c>
      <c r="R15" s="1">
        <f>LEN(N15)</f>
        <v>17</v>
      </c>
      <c r="S15" s="1" t="str">
        <f>TRIM(N15)</f>
        <v>KOLKATA KARNATAKA</v>
      </c>
      <c r="T15" s="1">
        <f t="shared" si="1"/>
        <v>17</v>
      </c>
      <c r="U15" s="1" t="str">
        <f t="shared" si="2"/>
        <v>YOG</v>
      </c>
      <c r="V15" s="1" t="str">
        <f t="shared" si="3"/>
        <v>sports</v>
      </c>
      <c r="W15" s="1" t="str">
        <f t="shared" si="4"/>
        <v>Sports</v>
      </c>
      <c r="X15" s="1" t="str">
        <f t="shared" si="5"/>
        <v>ATAKAYOG</v>
      </c>
      <c r="Y15" s="1" t="str">
        <f t="shared" si="6"/>
        <v>ATAKA NADU</v>
      </c>
      <c r="Z15" s="1" t="str">
        <f t="shared" si="7"/>
        <v>LKATYOG</v>
      </c>
      <c r="AA15" s="1" t="str">
        <f t="shared" si="8"/>
        <v>YOG ATAKA</v>
      </c>
      <c r="AB15" s="1" t="e">
        <f t="shared" si="9"/>
        <v>#VALUE!</v>
      </c>
      <c r="AC15" s="1" t="e">
        <f t="shared" si="10"/>
        <v>#VALUE!</v>
      </c>
      <c r="AD15" s="8" t="str">
        <f t="shared" si="11"/>
        <v>Ports</v>
      </c>
    </row>
    <row r="16" spans="1:30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36</v>
      </c>
      <c r="F16" s="1" t="s">
        <v>19</v>
      </c>
      <c r="G16" s="1" t="s">
        <v>20</v>
      </c>
      <c r="H16" s="1" t="s">
        <v>14</v>
      </c>
      <c r="I16" s="1" t="s">
        <v>48</v>
      </c>
      <c r="J16" s="1" t="s">
        <v>49</v>
      </c>
      <c r="K16" s="8" t="s">
        <v>17</v>
      </c>
      <c r="L16" s="3" t="s">
        <v>52</v>
      </c>
      <c r="M16" s="3" t="s">
        <v>79</v>
      </c>
      <c r="N16" s="4" t="s">
        <v>66</v>
      </c>
      <c r="O16" s="1" t="str">
        <f t="shared" si="0"/>
        <v>HYDER</v>
      </c>
      <c r="P16" s="1" t="str">
        <f>MID(N16,3,4)</f>
        <v>DERA</v>
      </c>
      <c r="Q16" s="1" t="str">
        <f>RIGHT(N16,5)</f>
        <v xml:space="preserve"> NADU</v>
      </c>
      <c r="R16" s="1">
        <f>LEN(N16)</f>
        <v>20</v>
      </c>
      <c r="S16" s="1" t="str">
        <f>TRIM(N16)</f>
        <v>HYDERABAD TAMIL NADU</v>
      </c>
      <c r="T16" s="1">
        <f t="shared" si="1"/>
        <v>20</v>
      </c>
      <c r="U16" s="1" t="str">
        <f t="shared" si="2"/>
        <v>SHA</v>
      </c>
      <c r="V16" s="1" t="str">
        <f t="shared" si="3"/>
        <v>beauty</v>
      </c>
      <c r="W16" s="1" t="str">
        <f t="shared" si="4"/>
        <v>Beauty</v>
      </c>
      <c r="X16" s="1" t="str">
        <f t="shared" si="5"/>
        <v xml:space="preserve"> NADUSHA</v>
      </c>
      <c r="Y16" s="1" t="str">
        <f t="shared" si="6"/>
        <v xml:space="preserve"> NADUENGAL</v>
      </c>
      <c r="Z16" s="1" t="str">
        <f t="shared" si="7"/>
        <v>DERASHA</v>
      </c>
      <c r="AA16" s="1" t="str">
        <f t="shared" si="8"/>
        <v>SHA  NADU</v>
      </c>
      <c r="AB16" s="1">
        <f t="shared" si="9"/>
        <v>4</v>
      </c>
      <c r="AC16" s="1">
        <f t="shared" si="10"/>
        <v>6</v>
      </c>
      <c r="AD16" s="8" t="str">
        <f t="shared" si="11"/>
        <v>Pauty</v>
      </c>
    </row>
    <row r="17" spans="1:30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18</v>
      </c>
      <c r="F17" s="1" t="s">
        <v>25</v>
      </c>
      <c r="G17" s="1" t="s">
        <v>13</v>
      </c>
      <c r="H17" s="1" t="s">
        <v>38</v>
      </c>
      <c r="I17" s="1" t="s">
        <v>27</v>
      </c>
      <c r="J17" s="1" t="s">
        <v>35</v>
      </c>
      <c r="K17" s="8" t="s">
        <v>17</v>
      </c>
      <c r="L17" s="3" t="s">
        <v>52</v>
      </c>
      <c r="M17" s="3" t="s">
        <v>74</v>
      </c>
      <c r="N17" s="4" t="s">
        <v>67</v>
      </c>
      <c r="O17" s="1" t="str">
        <f t="shared" si="0"/>
        <v xml:space="preserve">PUNE </v>
      </c>
      <c r="P17" s="1" t="str">
        <f>MID(N17,3,4)</f>
        <v>NE W</v>
      </c>
      <c r="Q17" s="1" t="str">
        <f>RIGHT(N17,5)</f>
        <v>ENGAL</v>
      </c>
      <c r="R17" s="1">
        <f>LEN(N17)</f>
        <v>16</v>
      </c>
      <c r="S17" s="1" t="str">
        <f>TRIM(N17)</f>
        <v>PUNE WEST BENGAL</v>
      </c>
      <c r="T17" s="1">
        <f t="shared" si="1"/>
        <v>16</v>
      </c>
      <c r="U17" s="1" t="str">
        <f t="shared" si="2"/>
        <v>JAC</v>
      </c>
      <c r="V17" s="1" t="str">
        <f t="shared" si="3"/>
        <v>fashion</v>
      </c>
      <c r="W17" s="1" t="str">
        <f t="shared" si="4"/>
        <v>Fashion</v>
      </c>
      <c r="X17" s="1" t="str">
        <f t="shared" si="5"/>
        <v>ENGALJAC</v>
      </c>
      <c r="Y17" s="1" t="str">
        <f t="shared" si="6"/>
        <v>ENGALSHTRA</v>
      </c>
      <c r="Z17" s="1" t="str">
        <f t="shared" si="7"/>
        <v>NE WJAC</v>
      </c>
      <c r="AA17" s="1" t="str">
        <f t="shared" si="8"/>
        <v>JAC ENGAL</v>
      </c>
      <c r="AB17" s="1">
        <f t="shared" si="9"/>
        <v>4</v>
      </c>
      <c r="AC17" s="1">
        <f t="shared" si="10"/>
        <v>1</v>
      </c>
      <c r="AD17" s="8" t="str">
        <f t="shared" si="11"/>
        <v>Pshion</v>
      </c>
    </row>
    <row r="18" spans="1:30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12</v>
      </c>
      <c r="F18" s="1" t="s">
        <v>50</v>
      </c>
      <c r="G18" s="1" t="s">
        <v>13</v>
      </c>
      <c r="H18" s="1" t="s">
        <v>40</v>
      </c>
      <c r="I18" s="1" t="s">
        <v>27</v>
      </c>
      <c r="J18" s="1" t="s">
        <v>35</v>
      </c>
      <c r="K18" s="8" t="s">
        <v>24</v>
      </c>
      <c r="L18" s="3" t="s">
        <v>53</v>
      </c>
      <c r="M18" s="3" t="s">
        <v>74</v>
      </c>
      <c r="N18" s="4" t="s">
        <v>68</v>
      </c>
      <c r="O18" s="1" t="str">
        <f t="shared" si="0"/>
        <v>DELHI</v>
      </c>
      <c r="P18" s="1" t="str">
        <f>MID(N18,3,4)</f>
        <v xml:space="preserve">LHI </v>
      </c>
      <c r="Q18" s="1" t="str">
        <f>RIGHT(N18,5)</f>
        <v>SHTRA</v>
      </c>
      <c r="R18" s="1">
        <f>LEN(N18)</f>
        <v>17</v>
      </c>
      <c r="S18" s="1" t="str">
        <f>TRIM(N18)</f>
        <v>DELHI MAHARASHTRA</v>
      </c>
      <c r="T18" s="1">
        <f t="shared" si="1"/>
        <v>17</v>
      </c>
      <c r="U18" s="1" t="str">
        <f t="shared" si="2"/>
        <v>JAC</v>
      </c>
      <c r="V18" s="1" t="str">
        <f t="shared" si="3"/>
        <v>fashion</v>
      </c>
      <c r="W18" s="1" t="str">
        <f t="shared" si="4"/>
        <v>Fashion</v>
      </c>
      <c r="X18" s="1" t="str">
        <f t="shared" si="5"/>
        <v>SHTRAJAC</v>
      </c>
      <c r="Y18" s="1" t="str">
        <f t="shared" si="6"/>
        <v>SHTRAENGAL</v>
      </c>
      <c r="Z18" s="1" t="str">
        <f t="shared" si="7"/>
        <v>LHI JAC</v>
      </c>
      <c r="AA18" s="1" t="str">
        <f t="shared" si="8"/>
        <v>JAC SHTRA</v>
      </c>
      <c r="AB18" s="1">
        <f t="shared" si="9"/>
        <v>2</v>
      </c>
      <c r="AC18" s="1">
        <f t="shared" si="10"/>
        <v>6</v>
      </c>
      <c r="AD18" s="8" t="str">
        <f t="shared" si="11"/>
        <v>Pshion</v>
      </c>
    </row>
    <row r="19" spans="1:30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11</v>
      </c>
      <c r="F19" s="1" t="s">
        <v>25</v>
      </c>
      <c r="G19" s="1" t="s">
        <v>20</v>
      </c>
      <c r="H19" s="1" t="s">
        <v>14</v>
      </c>
      <c r="I19" s="1" t="s">
        <v>15</v>
      </c>
      <c r="J19" s="1" t="s">
        <v>51</v>
      </c>
      <c r="K19" s="8" t="s">
        <v>24</v>
      </c>
      <c r="L19" s="3" t="s">
        <v>53</v>
      </c>
      <c r="M19" s="3" t="s">
        <v>80</v>
      </c>
      <c r="N19" s="4" t="s">
        <v>59</v>
      </c>
      <c r="O19" s="1" t="str">
        <f t="shared" si="0"/>
        <v>CHENN</v>
      </c>
      <c r="P19" s="1" t="str">
        <f>MID(N19,3,4)</f>
        <v>ENNA</v>
      </c>
      <c r="Q19" s="1" t="str">
        <f>RIGHT(N19,5)</f>
        <v>ENGAL</v>
      </c>
      <c r="R19" s="1">
        <f>LEN(N19)</f>
        <v>19</v>
      </c>
      <c r="S19" s="1" t="str">
        <f>TRIM(N19)</f>
        <v>CHENNAI WEST BENGAL</v>
      </c>
      <c r="T19" s="1">
        <f t="shared" si="1"/>
        <v>19</v>
      </c>
      <c r="U19" s="1" t="str">
        <f t="shared" si="2"/>
        <v>CUR</v>
      </c>
      <c r="V19" s="1" t="str">
        <f t="shared" si="3"/>
        <v>home &amp; kitchen</v>
      </c>
      <c r="W19" s="1" t="str">
        <f t="shared" si="4"/>
        <v>Home &amp; Kitchen</v>
      </c>
      <c r="X19" s="1" t="str">
        <f t="shared" si="5"/>
        <v>ENGALCUR</v>
      </c>
      <c r="Y19" s="1" t="str">
        <f t="shared" si="6"/>
        <v>ENGALATAKA</v>
      </c>
      <c r="Z19" s="1" t="str">
        <f t="shared" si="7"/>
        <v>ENNACUR</v>
      </c>
      <c r="AA19" s="1" t="str">
        <f t="shared" si="8"/>
        <v>CUR ENGAL</v>
      </c>
      <c r="AB19" s="1">
        <f t="shared" si="9"/>
        <v>3</v>
      </c>
      <c r="AC19" s="1">
        <f t="shared" si="10"/>
        <v>1</v>
      </c>
      <c r="AD19" s="8" t="str">
        <f t="shared" si="11"/>
        <v>Pme &amp; Kitchen</v>
      </c>
    </row>
    <row r="20" spans="1:30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30</v>
      </c>
      <c r="F20" s="1" t="s">
        <v>34</v>
      </c>
      <c r="G20" s="1" t="s">
        <v>26</v>
      </c>
      <c r="H20" s="1" t="s">
        <v>38</v>
      </c>
      <c r="I20" s="1" t="s">
        <v>27</v>
      </c>
      <c r="J20" s="1" t="s">
        <v>35</v>
      </c>
      <c r="K20" s="8" t="s">
        <v>29</v>
      </c>
      <c r="L20" s="9" t="s">
        <v>54</v>
      </c>
      <c r="M20" s="9" t="s">
        <v>74</v>
      </c>
      <c r="N20" s="10" t="s">
        <v>64</v>
      </c>
      <c r="O20" s="11" t="str">
        <f t="shared" si="0"/>
        <v>BENGA</v>
      </c>
      <c r="P20" s="11" t="str">
        <f>MID(N20,3,4)</f>
        <v>NGAL</v>
      </c>
      <c r="Q20" s="11" t="str">
        <f>RIGHT(N20,5)</f>
        <v>ATAKA</v>
      </c>
      <c r="R20" s="11">
        <f>LEN(N20)</f>
        <v>19</v>
      </c>
      <c r="S20" s="11" t="str">
        <f>TRIM(N20)</f>
        <v>BENGALURU KARNATAKA</v>
      </c>
      <c r="T20" s="11">
        <f t="shared" si="1"/>
        <v>19</v>
      </c>
      <c r="U20" s="11" t="str">
        <f t="shared" si="2"/>
        <v>JAC</v>
      </c>
      <c r="V20" s="11" t="str">
        <f t="shared" si="3"/>
        <v>fashion</v>
      </c>
      <c r="W20" s="11" t="str">
        <f t="shared" si="4"/>
        <v>Fashion</v>
      </c>
      <c r="X20" s="11" t="str">
        <f t="shared" si="5"/>
        <v>ATAKAJAC</v>
      </c>
      <c r="Y20" s="11" t="str">
        <f t="shared" si="6"/>
        <v>ATAKA</v>
      </c>
      <c r="Z20" s="11" t="str">
        <f t="shared" si="7"/>
        <v>NGALJAC</v>
      </c>
      <c r="AA20" s="11" t="str">
        <f t="shared" si="8"/>
        <v>JAC ATAKA</v>
      </c>
      <c r="AB20" s="11">
        <f t="shared" si="9"/>
        <v>2</v>
      </c>
      <c r="AC20" s="11" t="e">
        <f t="shared" si="10"/>
        <v>#VALUE!</v>
      </c>
      <c r="AD20" s="12" t="str">
        <f t="shared" si="11"/>
        <v>Pshion</v>
      </c>
    </row>
  </sheetData>
  <conditionalFormatting sqref="A2:K20 L2:N2">
    <cfRule type="expression" dxfId="16" priority="11">
      <formula>AND($F2=#REF!,$H2=#REF!)</formula>
    </cfRule>
    <cfRule type="expression" dxfId="15" priority="12">
      <formula>$G2=#REF!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4339-098C-4150-A361-548082EBD90F}">
  <dimension ref="A1:R27"/>
  <sheetViews>
    <sheetView workbookViewId="0">
      <selection activeCell="H24" sqref="H24"/>
    </sheetView>
  </sheetViews>
  <sheetFormatPr defaultRowHeight="14.5" x14ac:dyDescent="0.35"/>
  <cols>
    <col min="1" max="1" width="9.36328125" customWidth="1"/>
    <col min="2" max="2" width="12.36328125" bestFit="1" customWidth="1"/>
    <col min="3" max="3" width="22.6328125" bestFit="1" customWidth="1"/>
    <col min="4" max="4" width="10.81640625" bestFit="1" customWidth="1"/>
    <col min="5" max="5" width="13.08984375" customWidth="1"/>
    <col min="6" max="6" width="16.26953125" customWidth="1"/>
    <col min="7" max="7" width="9.90625" customWidth="1"/>
    <col min="9" max="9" width="11.81640625" customWidth="1"/>
    <col min="10" max="10" width="11.54296875" customWidth="1"/>
    <col min="11" max="11" width="11.90625" customWidth="1"/>
    <col min="12" max="12" width="14.81640625" customWidth="1"/>
    <col min="13" max="13" width="18.26953125" customWidth="1"/>
    <col min="14" max="14" width="10.7265625" customWidth="1"/>
    <col min="15" max="15" width="12.26953125" customWidth="1"/>
    <col min="16" max="16" width="14.36328125" bestFit="1" customWidth="1"/>
    <col min="17" max="17" width="13.1796875" customWidth="1"/>
    <col min="18" max="18" width="17.453125" customWidth="1"/>
  </cols>
  <sheetData>
    <row r="1" spans="1:18" x14ac:dyDescent="0.35">
      <c r="A1" s="34" t="s">
        <v>102</v>
      </c>
      <c r="B1" s="16" t="s">
        <v>103</v>
      </c>
      <c r="C1" s="16" t="s">
        <v>104</v>
      </c>
      <c r="D1" s="16" t="s">
        <v>105</v>
      </c>
      <c r="E1" s="16" t="s">
        <v>106</v>
      </c>
      <c r="F1" s="16" t="s">
        <v>107</v>
      </c>
      <c r="G1" s="16" t="s">
        <v>108</v>
      </c>
      <c r="H1" s="17" t="s">
        <v>109</v>
      </c>
      <c r="I1" s="13" t="s">
        <v>156</v>
      </c>
      <c r="J1" s="13" t="s">
        <v>167</v>
      </c>
      <c r="K1" s="13" t="s">
        <v>177</v>
      </c>
      <c r="L1" s="13" t="s">
        <v>178</v>
      </c>
      <c r="M1" s="13" t="s">
        <v>179</v>
      </c>
      <c r="N1" s="13" t="s">
        <v>180</v>
      </c>
      <c r="O1" s="13" t="s">
        <v>187</v>
      </c>
      <c r="P1" s="13" t="s">
        <v>198</v>
      </c>
      <c r="Q1" s="36" t="s">
        <v>208</v>
      </c>
      <c r="R1" s="36" t="s">
        <v>209</v>
      </c>
    </row>
    <row r="2" spans="1:18" x14ac:dyDescent="0.35">
      <c r="A2" s="35" t="s">
        <v>110</v>
      </c>
      <c r="B2" s="18" t="s">
        <v>111</v>
      </c>
      <c r="C2" s="19" t="s">
        <v>112</v>
      </c>
      <c r="D2" s="18">
        <v>9876543210</v>
      </c>
      <c r="E2" s="18" t="s">
        <v>113</v>
      </c>
      <c r="F2" s="22" t="s">
        <v>114</v>
      </c>
      <c r="G2" s="18" t="s">
        <v>33</v>
      </c>
      <c r="H2" s="20">
        <v>35000</v>
      </c>
      <c r="I2" s="14" t="s">
        <v>157</v>
      </c>
      <c r="J2" s="14" t="s">
        <v>168</v>
      </c>
      <c r="K2" t="str">
        <f>RIGHT(D2,4)</f>
        <v>3210</v>
      </c>
      <c r="L2" t="str">
        <f>LEFT(F2,3)</f>
        <v>SAL</v>
      </c>
      <c r="M2" s="23" t="s">
        <v>188</v>
      </c>
      <c r="N2" t="s">
        <v>181</v>
      </c>
      <c r="O2">
        <f>LEN(B2)</f>
        <v>12</v>
      </c>
      <c r="P2" t="str">
        <f>UPPER(B2)</f>
        <v>RAHUL SHARMA</v>
      </c>
      <c r="Q2" s="15" t="str">
        <f>RIGHT(Table2[[#This Row],[Employee_Code]],7)</f>
        <v>001-KOL</v>
      </c>
      <c r="R2" t="str">
        <f t="shared" ref="R2:R11" si="0">LEFT(Q2,3)</f>
        <v>001</v>
      </c>
    </row>
    <row r="3" spans="1:18" x14ac:dyDescent="0.35">
      <c r="A3" s="35" t="s">
        <v>115</v>
      </c>
      <c r="B3" s="18" t="s">
        <v>116</v>
      </c>
      <c r="C3" s="19" t="s">
        <v>117</v>
      </c>
      <c r="D3" s="18">
        <v>9123456780</v>
      </c>
      <c r="E3" s="18" t="s">
        <v>118</v>
      </c>
      <c r="F3" s="22" t="s">
        <v>119</v>
      </c>
      <c r="G3" s="18" t="s">
        <v>12</v>
      </c>
      <c r="H3" s="20">
        <v>42000</v>
      </c>
      <c r="I3" s="21" t="s">
        <v>158</v>
      </c>
      <c r="J3" s="21" t="s">
        <v>169</v>
      </c>
      <c r="K3" s="15" t="str">
        <f t="shared" ref="K3:K11" si="1">RIGHT(D3,4)</f>
        <v>6780</v>
      </c>
      <c r="L3" s="15" t="str">
        <f t="shared" ref="L3:L11" si="2">LEFT(F3,3)</f>
        <v>HR-</v>
      </c>
      <c r="M3" s="23" t="s">
        <v>189</v>
      </c>
      <c r="N3" s="15" t="s">
        <v>182</v>
      </c>
      <c r="O3" s="15">
        <f t="shared" ref="O3:O11" si="3">LEN(B3)</f>
        <v>9</v>
      </c>
      <c r="P3" s="15" t="str">
        <f t="shared" ref="P3:P11" si="4">UPPER(B3)</f>
        <v>PRIYA SEN</v>
      </c>
      <c r="Q3" s="15" t="str">
        <f>RIGHT(Table2[[#This Row],[Employee_Code]],7)</f>
        <v>002-DEL</v>
      </c>
      <c r="R3" t="str">
        <f t="shared" si="0"/>
        <v>002</v>
      </c>
    </row>
    <row r="4" spans="1:18" x14ac:dyDescent="0.35">
      <c r="A4" s="35" t="s">
        <v>120</v>
      </c>
      <c r="B4" s="18" t="s">
        <v>121</v>
      </c>
      <c r="C4" s="19" t="s">
        <v>122</v>
      </c>
      <c r="D4" s="18">
        <v>9834567120</v>
      </c>
      <c r="E4" s="18" t="s">
        <v>123</v>
      </c>
      <c r="F4" s="22" t="s">
        <v>124</v>
      </c>
      <c r="G4" s="18" t="s">
        <v>42</v>
      </c>
      <c r="H4" s="20">
        <v>48000</v>
      </c>
      <c r="I4" s="21" t="s">
        <v>159</v>
      </c>
      <c r="J4" s="21" t="s">
        <v>170</v>
      </c>
      <c r="K4" s="15" t="str">
        <f t="shared" si="1"/>
        <v>7120</v>
      </c>
      <c r="L4" s="15" t="str">
        <f t="shared" si="2"/>
        <v>FIN</v>
      </c>
      <c r="M4" s="23" t="s">
        <v>190</v>
      </c>
      <c r="N4" s="15" t="s">
        <v>183</v>
      </c>
      <c r="O4" s="15">
        <f t="shared" si="3"/>
        <v>8</v>
      </c>
      <c r="P4" s="15" t="str">
        <f t="shared" si="4"/>
        <v>AMIT ROY</v>
      </c>
      <c r="Q4" s="15" t="str">
        <f>RIGHT(Table2[[#This Row],[Employee_Code]],7)</f>
        <v>003-MUM</v>
      </c>
      <c r="R4" t="str">
        <f t="shared" si="0"/>
        <v>003</v>
      </c>
    </row>
    <row r="5" spans="1:18" x14ac:dyDescent="0.35">
      <c r="A5" s="35" t="s">
        <v>125</v>
      </c>
      <c r="B5" s="18" t="s">
        <v>126</v>
      </c>
      <c r="C5" s="19" t="s">
        <v>127</v>
      </c>
      <c r="D5" s="18">
        <v>8765432190</v>
      </c>
      <c r="E5" s="18" t="s">
        <v>128</v>
      </c>
      <c r="F5" s="22" t="s">
        <v>129</v>
      </c>
      <c r="G5" s="18" t="s">
        <v>130</v>
      </c>
      <c r="H5" s="20">
        <v>55000</v>
      </c>
      <c r="I5" s="21" t="s">
        <v>160</v>
      </c>
      <c r="J5" s="21" t="s">
        <v>171</v>
      </c>
      <c r="K5" s="15" t="str">
        <f t="shared" si="1"/>
        <v>2190</v>
      </c>
      <c r="L5" s="15" t="str">
        <f t="shared" si="2"/>
        <v>IT-</v>
      </c>
      <c r="M5" s="23" t="s">
        <v>191</v>
      </c>
      <c r="N5" s="15" t="s">
        <v>184</v>
      </c>
      <c r="O5" s="15">
        <f t="shared" si="3"/>
        <v>9</v>
      </c>
      <c r="P5" s="15" t="str">
        <f t="shared" si="4"/>
        <v>SNEHA DAS</v>
      </c>
      <c r="Q5" s="15" t="str">
        <f>RIGHT(Table2[[#This Row],[Employee_Code]],7)</f>
        <v>004-BLR</v>
      </c>
      <c r="R5" t="str">
        <f t="shared" si="0"/>
        <v>004</v>
      </c>
    </row>
    <row r="6" spans="1:18" x14ac:dyDescent="0.35">
      <c r="A6" s="35" t="s">
        <v>131</v>
      </c>
      <c r="B6" s="18" t="s">
        <v>132</v>
      </c>
      <c r="C6" s="19" t="s">
        <v>133</v>
      </c>
      <c r="D6" s="18">
        <v>9988776655</v>
      </c>
      <c r="E6" s="18" t="s">
        <v>134</v>
      </c>
      <c r="F6" s="22" t="s">
        <v>135</v>
      </c>
      <c r="G6" s="18" t="s">
        <v>18</v>
      </c>
      <c r="H6" s="20">
        <v>45000</v>
      </c>
      <c r="I6" s="21" t="s">
        <v>161</v>
      </c>
      <c r="J6" s="21" t="s">
        <v>172</v>
      </c>
      <c r="K6" s="15" t="str">
        <f t="shared" si="1"/>
        <v>6655</v>
      </c>
      <c r="L6" s="15" t="str">
        <f t="shared" si="2"/>
        <v>MKT</v>
      </c>
      <c r="M6" s="23" t="s">
        <v>192</v>
      </c>
      <c r="N6" s="15" t="s">
        <v>185</v>
      </c>
      <c r="O6" s="15">
        <f t="shared" si="3"/>
        <v>11</v>
      </c>
      <c r="P6" s="15" t="str">
        <f t="shared" si="4"/>
        <v>ARJUN MEHTA</v>
      </c>
      <c r="Q6" s="15" t="str">
        <f>RIGHT(Table2[[#This Row],[Employee_Code]],7)</f>
        <v>005-PUN</v>
      </c>
      <c r="R6" t="str">
        <f t="shared" si="0"/>
        <v>005</v>
      </c>
    </row>
    <row r="7" spans="1:18" x14ac:dyDescent="0.35">
      <c r="A7" s="35" t="s">
        <v>136</v>
      </c>
      <c r="B7" s="18" t="s">
        <v>137</v>
      </c>
      <c r="C7" s="19" t="s">
        <v>138</v>
      </c>
      <c r="D7" s="18">
        <v>9090901234</v>
      </c>
      <c r="E7" s="18" t="s">
        <v>113</v>
      </c>
      <c r="F7" s="22" t="s">
        <v>139</v>
      </c>
      <c r="G7" s="18" t="s">
        <v>12</v>
      </c>
      <c r="H7" s="20">
        <v>38000</v>
      </c>
      <c r="I7" s="21" t="s">
        <v>162</v>
      </c>
      <c r="J7" s="21" t="s">
        <v>173</v>
      </c>
      <c r="K7" s="15" t="str">
        <f t="shared" si="1"/>
        <v>1234</v>
      </c>
      <c r="L7" s="15" t="str">
        <f t="shared" si="2"/>
        <v>SAL</v>
      </c>
      <c r="M7" s="23" t="s">
        <v>193</v>
      </c>
      <c r="N7" s="15" t="s">
        <v>182</v>
      </c>
      <c r="O7" s="15">
        <f t="shared" si="3"/>
        <v>10</v>
      </c>
      <c r="P7" s="15" t="str">
        <f t="shared" si="4"/>
        <v>NEHA GUPTA</v>
      </c>
      <c r="Q7" s="15" t="str">
        <f>RIGHT(Table2[[#This Row],[Employee_Code]],7)</f>
        <v>006-DEL</v>
      </c>
      <c r="R7" t="str">
        <f t="shared" si="0"/>
        <v>006</v>
      </c>
    </row>
    <row r="8" spans="1:18" x14ac:dyDescent="0.35">
      <c r="A8" s="35" t="s">
        <v>140</v>
      </c>
      <c r="B8" s="18" t="s">
        <v>141</v>
      </c>
      <c r="C8" s="19" t="s">
        <v>142</v>
      </c>
      <c r="D8" s="18">
        <v>9876123456</v>
      </c>
      <c r="E8" s="18" t="s">
        <v>128</v>
      </c>
      <c r="F8" s="22" t="s">
        <v>143</v>
      </c>
      <c r="G8" s="18" t="s">
        <v>33</v>
      </c>
      <c r="H8" s="20">
        <v>60000</v>
      </c>
      <c r="I8" s="21" t="s">
        <v>163</v>
      </c>
      <c r="J8" s="21" t="s">
        <v>174</v>
      </c>
      <c r="K8" s="15" t="str">
        <f t="shared" si="1"/>
        <v>3456</v>
      </c>
      <c r="L8" s="15" t="str">
        <f t="shared" si="2"/>
        <v>IT-</v>
      </c>
      <c r="M8" s="23" t="s">
        <v>194</v>
      </c>
      <c r="N8" s="15" t="s">
        <v>181</v>
      </c>
      <c r="O8" s="15">
        <f t="shared" si="3"/>
        <v>10</v>
      </c>
      <c r="P8" s="15" t="str">
        <f t="shared" si="4"/>
        <v>ROHAN PAUL</v>
      </c>
      <c r="Q8" s="15" t="str">
        <f>RIGHT(Table2[[#This Row],[Employee_Code]],7)</f>
        <v>007-KOL</v>
      </c>
      <c r="R8" t="str">
        <f t="shared" si="0"/>
        <v>007</v>
      </c>
    </row>
    <row r="9" spans="1:18" x14ac:dyDescent="0.35">
      <c r="A9" s="35" t="s">
        <v>144</v>
      </c>
      <c r="B9" s="18" t="s">
        <v>145</v>
      </c>
      <c r="C9" s="19" t="s">
        <v>146</v>
      </c>
      <c r="D9" s="18">
        <v>8899776655</v>
      </c>
      <c r="E9" s="18" t="s">
        <v>123</v>
      </c>
      <c r="F9" s="22" t="s">
        <v>147</v>
      </c>
      <c r="G9" s="18" t="s">
        <v>11</v>
      </c>
      <c r="H9" s="20">
        <v>52000</v>
      </c>
      <c r="I9" s="21" t="s">
        <v>164</v>
      </c>
      <c r="J9" s="21" t="s">
        <v>175</v>
      </c>
      <c r="K9" s="15" t="str">
        <f t="shared" si="1"/>
        <v>6655</v>
      </c>
      <c r="L9" s="15" t="str">
        <f t="shared" si="2"/>
        <v>FIN</v>
      </c>
      <c r="M9" s="23" t="s">
        <v>195</v>
      </c>
      <c r="N9" s="15" t="s">
        <v>186</v>
      </c>
      <c r="O9" s="15">
        <f t="shared" si="3"/>
        <v>11</v>
      </c>
      <c r="P9" s="15" t="str">
        <f t="shared" si="4"/>
        <v>ANANYA BOSE</v>
      </c>
      <c r="Q9" s="15" t="str">
        <f>RIGHT(Table2[[#This Row],[Employee_Code]],7)</f>
        <v>008-CHN</v>
      </c>
      <c r="R9" t="str">
        <f t="shared" si="0"/>
        <v>008</v>
      </c>
    </row>
    <row r="10" spans="1:18" x14ac:dyDescent="0.35">
      <c r="A10" s="35" t="s">
        <v>148</v>
      </c>
      <c r="B10" s="18" t="s">
        <v>149</v>
      </c>
      <c r="C10" s="19" t="s">
        <v>150</v>
      </c>
      <c r="D10" s="18">
        <v>9123456789</v>
      </c>
      <c r="E10" s="18" t="s">
        <v>118</v>
      </c>
      <c r="F10" s="22" t="s">
        <v>151</v>
      </c>
      <c r="G10" s="18" t="s">
        <v>42</v>
      </c>
      <c r="H10" s="20">
        <v>41000</v>
      </c>
      <c r="I10" s="21" t="s">
        <v>165</v>
      </c>
      <c r="J10" s="21" t="s">
        <v>176</v>
      </c>
      <c r="K10" s="15" t="str">
        <f t="shared" si="1"/>
        <v>6789</v>
      </c>
      <c r="L10" s="15" t="str">
        <f t="shared" si="2"/>
        <v>HR-</v>
      </c>
      <c r="M10" s="23" t="s">
        <v>196</v>
      </c>
      <c r="N10" s="15" t="s">
        <v>183</v>
      </c>
      <c r="O10" s="15">
        <f t="shared" si="3"/>
        <v>11</v>
      </c>
      <c r="P10" s="15" t="str">
        <f t="shared" si="4"/>
        <v>KARAN SINGH</v>
      </c>
      <c r="Q10" s="15" t="str">
        <f>RIGHT(Table2[[#This Row],[Employee_Code]],7)</f>
        <v>009-MUM</v>
      </c>
      <c r="R10" t="str">
        <f t="shared" si="0"/>
        <v>009</v>
      </c>
    </row>
    <row r="11" spans="1:18" x14ac:dyDescent="0.35">
      <c r="A11" s="35" t="s">
        <v>152</v>
      </c>
      <c r="B11" s="18" t="s">
        <v>153</v>
      </c>
      <c r="C11" s="19" t="s">
        <v>154</v>
      </c>
      <c r="D11" s="18">
        <v>7987654321</v>
      </c>
      <c r="E11" s="18" t="s">
        <v>134</v>
      </c>
      <c r="F11" s="22" t="s">
        <v>155</v>
      </c>
      <c r="G11" s="18" t="s">
        <v>33</v>
      </c>
      <c r="H11" s="20">
        <v>47000</v>
      </c>
      <c r="I11" s="21" t="s">
        <v>166</v>
      </c>
      <c r="J11" s="21" t="s">
        <v>171</v>
      </c>
      <c r="K11" s="15" t="str">
        <f t="shared" si="1"/>
        <v>4321</v>
      </c>
      <c r="L11" s="15" t="str">
        <f t="shared" si="2"/>
        <v>MKT</v>
      </c>
      <c r="M11" s="23" t="s">
        <v>197</v>
      </c>
      <c r="N11" s="15" t="s">
        <v>181</v>
      </c>
      <c r="O11" s="15">
        <f t="shared" si="3"/>
        <v>9</v>
      </c>
      <c r="P11" s="15" t="str">
        <f t="shared" si="4"/>
        <v>POOJA DAS</v>
      </c>
      <c r="Q11" s="15" t="str">
        <f>RIGHT(Table2[[#This Row],[Employee_Code]],7)</f>
        <v>010-KOL</v>
      </c>
      <c r="R11" t="str">
        <f t="shared" si="0"/>
        <v>010</v>
      </c>
    </row>
    <row r="13" spans="1:18" ht="15" thickBot="1" x14ac:dyDescent="0.4"/>
    <row r="14" spans="1:18" x14ac:dyDescent="0.35">
      <c r="B14" s="33" t="s">
        <v>199</v>
      </c>
      <c r="C14" s="24"/>
      <c r="D14" s="24"/>
      <c r="E14" s="25"/>
    </row>
    <row r="15" spans="1:18" x14ac:dyDescent="0.35">
      <c r="B15" s="26" t="s">
        <v>201</v>
      </c>
      <c r="C15" s="27"/>
      <c r="D15" s="27"/>
      <c r="E15" s="28"/>
    </row>
    <row r="16" spans="1:18" x14ac:dyDescent="0.35">
      <c r="B16" s="29" t="s">
        <v>200</v>
      </c>
      <c r="C16" s="27"/>
      <c r="D16" s="27"/>
      <c r="E16" s="28"/>
      <c r="H16" s="15"/>
    </row>
    <row r="17" spans="2:8" x14ac:dyDescent="0.35">
      <c r="B17" s="29" t="s">
        <v>202</v>
      </c>
      <c r="C17" s="27"/>
      <c r="D17" s="27"/>
      <c r="E17" s="28"/>
      <c r="H17" s="15"/>
    </row>
    <row r="18" spans="2:8" x14ac:dyDescent="0.35">
      <c r="B18" s="29" t="s">
        <v>203</v>
      </c>
      <c r="C18" s="27"/>
      <c r="D18" s="27"/>
      <c r="E18" s="28"/>
      <c r="H18" s="15"/>
    </row>
    <row r="19" spans="2:8" x14ac:dyDescent="0.35">
      <c r="B19" s="29" t="s">
        <v>204</v>
      </c>
      <c r="C19" s="27"/>
      <c r="D19" s="27"/>
      <c r="E19" s="28"/>
      <c r="H19" s="15"/>
    </row>
    <row r="20" spans="2:8" x14ac:dyDescent="0.35">
      <c r="B20" s="29" t="s">
        <v>205</v>
      </c>
      <c r="C20" s="27"/>
      <c r="D20" s="27"/>
      <c r="E20" s="28"/>
      <c r="H20" s="15"/>
    </row>
    <row r="21" spans="2:8" x14ac:dyDescent="0.35">
      <c r="B21" s="29" t="s">
        <v>206</v>
      </c>
      <c r="C21" s="27"/>
      <c r="D21" s="27"/>
      <c r="E21" s="28"/>
      <c r="H21" s="15"/>
    </row>
    <row r="22" spans="2:8" x14ac:dyDescent="0.35">
      <c r="B22" s="29" t="s">
        <v>207</v>
      </c>
      <c r="C22" s="27"/>
      <c r="D22" s="27"/>
      <c r="E22" s="28"/>
      <c r="H22" s="15"/>
    </row>
    <row r="23" spans="2:8" ht="15" thickBot="1" x14ac:dyDescent="0.4">
      <c r="B23" s="30"/>
      <c r="C23" s="31"/>
      <c r="D23" s="31"/>
      <c r="E23" s="32"/>
      <c r="H23" s="15"/>
    </row>
    <row r="24" spans="2:8" x14ac:dyDescent="0.35">
      <c r="H24" s="15"/>
    </row>
    <row r="25" spans="2:8" x14ac:dyDescent="0.35">
      <c r="H25" s="15"/>
    </row>
    <row r="26" spans="2:8" x14ac:dyDescent="0.35">
      <c r="H26" s="15"/>
    </row>
    <row r="27" spans="2:8" x14ac:dyDescent="0.35">
      <c r="H27" s="15"/>
    </row>
  </sheetData>
  <hyperlinks>
    <hyperlink ref="C2" r:id="rId1" display="mailto:rahul.sharma@gmail.com" xr:uid="{AFFD128B-21FD-44D7-8DED-56CA98AC6266}"/>
    <hyperlink ref="C3" r:id="rId2" display="mailto:priya.sen@yahoo.com" xr:uid="{284E9C32-B8E4-4D3E-A92C-CB834A254593}"/>
    <hyperlink ref="C4" r:id="rId3" display="mailto:amit.roy@gmail.com" xr:uid="{3A19BC8A-5E4D-466F-A92D-A84741F6DD3D}"/>
    <hyperlink ref="C5" r:id="rId4" display="mailto:sneha.das@outlook.com" xr:uid="{E3296415-DBC0-49F5-A5B1-857AE8AA2766}"/>
    <hyperlink ref="C6" r:id="rId5" display="mailto:arjun.mehta@gmail.com" xr:uid="{E9851236-DCCE-4796-9CBB-258C82EAA227}"/>
    <hyperlink ref="C7" r:id="rId6" display="mailto:neha.gupta@yahoo.com" xr:uid="{1F72C850-8BF0-4B4F-ADF2-9A31644DCA4B}"/>
    <hyperlink ref="C8" r:id="rId7" display="mailto:rohan.paul@gmail.com" xr:uid="{3B0CD34C-2F67-4429-BDEA-281DEC44B69A}"/>
    <hyperlink ref="C9" r:id="rId8" display="mailto:ananya.bose@gmail.com" xr:uid="{2038DCF2-7D69-4C6F-B16D-508E5076C56C}"/>
    <hyperlink ref="C10" r:id="rId9" display="mailto:karan.singh@yahoo.com" xr:uid="{7AAE62E3-B951-409A-B134-5CC4536F43C5}"/>
    <hyperlink ref="C11" r:id="rId10" display="mailto:pooja.das@gmail.com" xr:uid="{3537E77D-5DEE-463D-9F94-B10C6F5C660A}"/>
  </hyperlinks>
  <pageMargins left="0.7" right="0.7" top="0.75" bottom="0.75" header="0.3" footer="0.3"/>
  <tableParts count="2"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Flas Fill &amp; Text Formula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2026-10-06T05:17:09Z</dcterms:created>
  <dcterms:modified xsi:type="dcterms:W3CDTF">2026-10-06T07:56:10Z</dcterms:modified>
</cp:coreProperties>
</file>