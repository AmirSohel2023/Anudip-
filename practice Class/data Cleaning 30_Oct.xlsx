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Practice Class\"/>
    </mc:Choice>
  </mc:AlternateContent>
  <xr:revisionPtr revIDLastSave="0" documentId="8_{A98165DB-BBB1-4AAA-89DC-3F6FF149B85D}" xr6:coauthVersionLast="47" xr6:coauthVersionMax="47" xr10:uidLastSave="{00000000-0000-0000-0000-000000000000}"/>
  <bookViews>
    <workbookView xWindow="-110" yWindow="-110" windowWidth="19420" windowHeight="11500" xr2:uid="{76E089F8-FAD3-49F2-9948-E9735AA7DA1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I3" i="2"/>
  <c r="I5" i="2"/>
  <c r="I8" i="2"/>
  <c r="I12" i="2"/>
  <c r="I15" i="2"/>
  <c r="I17" i="2"/>
  <c r="I22" i="2"/>
  <c r="I21" i="2" s="1"/>
  <c r="I20" i="2" s="1"/>
  <c r="K3" i="2"/>
  <c r="K4" i="2"/>
  <c r="K6" i="2"/>
  <c r="K9" i="2"/>
  <c r="K12" i="2"/>
  <c r="K18" i="2"/>
  <c r="R2" i="2"/>
</calcChain>
</file>

<file path=xl/sharedStrings.xml><?xml version="1.0" encoding="utf-8"?>
<sst xmlns="http://schemas.openxmlformats.org/spreadsheetml/2006/main" count="281" uniqueCount="66">
  <si>
    <t>UPI</t>
  </si>
  <si>
    <t>Net Banking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</si>
  <si>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</si>
  <si>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</si>
  <si>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</si>
  <si>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</si>
  <si>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</si>
  <si>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</si>
  <si>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</si>
  <si>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</si>
  <si>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</si>
  <si>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</si>
  <si>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</si>
  <si>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</si>
  <si>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</si>
  <si>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</si>
  <si>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</si>
  <si>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</si>
  <si>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</si>
  <si>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</si>
  <si>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</si>
  <si>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</si>
  <si>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</si>
  <si>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</si>
  <si>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</si>
  <si>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</si>
  <si>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</si>
  <si>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</si>
  <si>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</si>
  <si>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</si>
  <si>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</si>
  <si>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</si>
  <si>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</si>
  <si>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</si>
  <si>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</si>
  <si>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</si>
  <si>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</si>
  <si>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</si>
  <si>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</si>
  <si>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</si>
  <si>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</si>
  <si>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</si>
  <si>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</si>
  <si>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</si>
  <si>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Bedsheet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</si>
  <si>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</si>
  <si>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</si>
  <si>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</si>
  <si>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</si>
  <si>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</si>
  <si>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</si>
  <si>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</si>
  <si>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</si>
  <si>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</si>
  <si>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</si>
  <si>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</si>
  <si>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</si>
  <si>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</si>
  <si>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</si>
  <si>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</si>
  <si>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</si>
  <si>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</si>
  <si>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</si>
  <si>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</si>
  <si>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 xml:space="preserve"> Total Price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</si>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</sst>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2" xfId="0" applyBorder="1"/>
  </cellXfs>
  <cellStyles count="1">
    <cellStyle name="Normal" xfId="0" builtinId="0"/>
  </cellStyles>
  <dxfs count="20"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958F7004-3C72-47C6-8631-1A9D72532D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CB7CE-7DC6-4B03-BB4E-FB9E66855AB5}" name="Table1" displayName="Table1" ref="A1:P40" totalsRowShown="0" headerRowDxfId="1" headerRowBorderDxfId="18" tableBorderDxfId="19" totalsRowBorderDxfId="17">
  <autoFilter ref="A1:P40" xr:uid="{A66CB7CE-7DC6-4B03-BB4E-FB9E66855AB5}"/>
  <tableColumns count="16">
    <tableColumn id="1" xr3:uid="{C74B6DB6-319C-47FB-831B-E7C45B043AAB}" name="Order ID" dataDxfId="16"/>
    <tableColumn id="2" xr3:uid="{6C2AC04D-DE08-49FE-8BF0-D4592A2020A0}" name="Customer ID" dataDxfId="15"/>
    <tableColumn id="3" xr3:uid="{35403F1C-8AF5-4683-A7DF-2E967FBB13EB}" name="Order Date" dataDxfId="14"/>
    <tableColumn id="4" xr3:uid="{E0AEBED9-2CA9-4ADD-B38D-461189445352}" name="Ship Date" dataDxfId="13"/>
    <tableColumn id="5" xr3:uid="{BC64237D-3216-432B-87B4-CB8AB7915449}" name="City" dataDxfId="12"/>
    <tableColumn id="6" xr3:uid="{C69603CE-246C-4B8C-8D7F-3CD63D8CD28F}" name="State" dataDxfId="11"/>
    <tableColumn id="7" xr3:uid="{52A48348-187D-4B15-8A52-3A25C0761DBA}" name="Sales Channel" dataDxfId="10"/>
    <tableColumn id="8" xr3:uid="{32C48F9F-4D3E-4935-9628-EE96C346B7BD}" name="Payment Method" dataDxfId="9"/>
    <tableColumn id="9" xr3:uid="{FCBD86E5-7776-48D9-9C84-5ADB65DC94F3}" name="Product Category" dataDxfId="8"/>
    <tableColumn id="10" xr3:uid="{6C1AEA56-83F4-4148-9AC7-3E90466B66B0}" name="Product Name" dataDxfId="7"/>
    <tableColumn id="11" xr3:uid="{0B943BE5-1F68-4104-B260-18C0C3D19BD4}" name="Brand" dataDxfId="6"/>
    <tableColumn id="12" xr3:uid="{52DF0ECA-EE3A-4F73-8B57-B3270FFDA665}" name="Units Sold" dataDxfId="5"/>
    <tableColumn id="13" xr3:uid="{F54CEAAC-A57C-43A0-BA7A-E6756567C255}" name="Unit Price" dataDxfId="4"/>
    <tableColumn id="14" xr3:uid="{9043FABF-92B1-4153-8AF0-CDAF54EDC744}" name="Discount %" dataDxfId="3"/>
    <tableColumn id="15" xr3:uid="{0CBD2BC8-18C4-4A9C-9F24-9397C63107FB}" name="Net Sales" dataDxfId="2"/>
    <tableColumn id="16" xr3:uid="{A9D3F318-8FEC-4198-8533-44B31606E1F8}" name=" Total Price" dataDxfId="0">
      <calculatedColumnFormula>IFERROR(Table1[[#This Row],[Units Sold]]*Table1[[#This Row],[Unit Price]],"Na")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795-72FB-487B-8EE2-9A401B8972AC}">
  <dimension ref="A1:R40"/>
  <sheetViews>
    <sheetView tabSelected="1" topLeftCell="D1" workbookViewId="0">
      <selection activeCell="P3" sqref="P3"/>
    </sheetView>
  </sheetViews>
  <sheetFormatPr defaultRowHeight="14.5" x14ac:dyDescent="0.35"/>
  <cols>
    <col min="1" max="1" width="10" customWidth="1"/>
    <col min="2" max="2" width="13.26953125" customWidth="1"/>
    <col min="3" max="3" width="12.1796875" customWidth="1"/>
    <col min="4" max="4" width="10.81640625" customWidth="1"/>
    <col min="7" max="7" width="14.26953125" customWidth="1"/>
    <col min="8" max="8" width="17.453125" customWidth="1"/>
    <col min="9" max="9" width="17.36328125" customWidth="1"/>
    <col min="10" max="10" width="14.81640625" customWidth="1"/>
    <col min="12" max="12" width="11.1796875" customWidth="1"/>
    <col min="13" max="13" width="10.90625" customWidth="1"/>
    <col min="14" max="14" width="12.08984375" customWidth="1"/>
    <col min="15" max="15" width="10.453125" customWidth="1"/>
  </cols>
  <sheetData>
    <row r="1" spans="1:18" x14ac:dyDescent="0.35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6" t="s">
        <v>64</v>
      </c>
    </row>
    <row r="2" spans="1:18" x14ac:dyDescent="0.35">
      <c r="A2" s="3">
        <v>10001</v>
      </c>
      <c r="B2" s="2">
        <v>1102</v>
      </c>
      <c r="C2" s="1">
        <v>45197</v>
      </c>
      <c r="D2" s="1">
        <v>45203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7</v>
      </c>
      <c r="M2" s="2">
        <v>2843.87</v>
      </c>
      <c r="N2" s="2">
        <v>0</v>
      </c>
      <c r="O2" s="4">
        <v>19907.09</v>
      </c>
      <c r="P2" s="12">
        <f>IFERROR(Table1[[#This Row],[Units Sold]]*Table1[[#This Row],[Unit Price]],"Na")</f>
        <v>19907.09</v>
      </c>
      <c r="R2" t="b">
        <f>AND(L1&lt;=0,L1&gt;=20)</f>
        <v>0</v>
      </c>
    </row>
    <row r="3" spans="1:18" x14ac:dyDescent="0.35">
      <c r="A3" s="3">
        <v>10002</v>
      </c>
      <c r="B3" s="2">
        <v>1435</v>
      </c>
      <c r="C3" s="1">
        <v>45199</v>
      </c>
      <c r="D3" s="1">
        <v>45203</v>
      </c>
      <c r="E3" s="2" t="s">
        <v>24</v>
      </c>
      <c r="F3" s="2" t="s">
        <v>25</v>
      </c>
      <c r="G3" s="2" t="s">
        <v>26</v>
      </c>
      <c r="H3" s="2" t="s">
        <v>27</v>
      </c>
      <c r="I3" s="2" t="str">
        <f>I4</f>
        <v>Fashion</v>
      </c>
      <c r="J3" s="2" t="s">
        <v>29</v>
      </c>
      <c r="K3" s="2" t="str">
        <f t="shared" ref="K3:K4" si="0">K2</f>
        <v>BrandA</v>
      </c>
      <c r="L3" s="2">
        <v>9</v>
      </c>
      <c r="M3" s="2">
        <v>2525.23</v>
      </c>
      <c r="N3" s="2">
        <v>5</v>
      </c>
      <c r="O3" s="4">
        <v>21590.720000000001</v>
      </c>
      <c r="P3" s="2">
        <f>IFERROR(Table1[[#This Row],[Units Sold]]*Table1[[#This Row],[Unit Price]],"Na")</f>
        <v>22727.07</v>
      </c>
    </row>
    <row r="4" spans="1:18" x14ac:dyDescent="0.35">
      <c r="A4" s="3">
        <v>10003</v>
      </c>
      <c r="B4" s="2">
        <v>1860</v>
      </c>
      <c r="C4" s="1">
        <v>45109</v>
      </c>
      <c r="D4" s="1">
        <v>45114</v>
      </c>
      <c r="E4" s="2" t="s">
        <v>17</v>
      </c>
      <c r="F4" s="2" t="s">
        <v>31</v>
      </c>
      <c r="G4" s="2" t="s">
        <v>32</v>
      </c>
      <c r="H4" s="2" t="s">
        <v>27</v>
      </c>
      <c r="I4" s="2" t="s">
        <v>33</v>
      </c>
      <c r="J4" s="2" t="s">
        <v>34</v>
      </c>
      <c r="K4" s="2" t="str">
        <f t="shared" si="0"/>
        <v>BrandA</v>
      </c>
      <c r="L4" s="2">
        <v>6</v>
      </c>
      <c r="M4" s="2">
        <v>3474.34</v>
      </c>
      <c r="N4" s="2">
        <v>15</v>
      </c>
      <c r="O4" s="4">
        <v>17719.13</v>
      </c>
      <c r="P4" s="2">
        <f>IFERROR(Table1[[#This Row],[Units Sold]]*Table1[[#This Row],[Unit Price]],"Na")</f>
        <v>20846.04</v>
      </c>
    </row>
    <row r="5" spans="1:18" x14ac:dyDescent="0.35">
      <c r="A5" s="3">
        <v>10004</v>
      </c>
      <c r="B5" s="2">
        <v>1270</v>
      </c>
      <c r="C5" s="1">
        <v>45079</v>
      </c>
      <c r="D5" s="1">
        <v>45087</v>
      </c>
      <c r="E5" s="2" t="s">
        <v>36</v>
      </c>
      <c r="F5" s="2" t="s">
        <v>31</v>
      </c>
      <c r="G5" s="2" t="s">
        <v>26</v>
      </c>
      <c r="H5" s="2" t="s">
        <v>37</v>
      </c>
      <c r="I5" s="2" t="str">
        <f>I6</f>
        <v>Fashion</v>
      </c>
      <c r="J5" s="2" t="s">
        <v>38</v>
      </c>
      <c r="K5" s="2" t="s">
        <v>23</v>
      </c>
      <c r="L5" s="2" t="s">
        <v>65</v>
      </c>
      <c r="M5" s="2">
        <v>1008.79</v>
      </c>
      <c r="N5" s="2">
        <v>15</v>
      </c>
      <c r="O5" s="4">
        <v>857.47</v>
      </c>
      <c r="P5" s="2" t="str">
        <f>IFERROR(Table1[[#This Row],[Units Sold]]*Table1[[#This Row],[Unit Price]],"Na")</f>
        <v>Na</v>
      </c>
    </row>
    <row r="6" spans="1:18" x14ac:dyDescent="0.35">
      <c r="A6" s="3">
        <v>10005</v>
      </c>
      <c r="B6" s="2">
        <v>1106</v>
      </c>
      <c r="C6" s="1">
        <v>45241</v>
      </c>
      <c r="D6" s="1">
        <v>45244</v>
      </c>
      <c r="E6" s="2" t="s">
        <v>39</v>
      </c>
      <c r="F6" s="2" t="s">
        <v>40</v>
      </c>
      <c r="G6" s="2" t="s">
        <v>32</v>
      </c>
      <c r="H6" s="2" t="s">
        <v>20</v>
      </c>
      <c r="I6" s="2" t="s">
        <v>33</v>
      </c>
      <c r="J6" s="2" t="s">
        <v>41</v>
      </c>
      <c r="K6" s="2" t="str">
        <f>K5</f>
        <v>BrandA</v>
      </c>
      <c r="L6" s="2">
        <v>7</v>
      </c>
      <c r="M6" s="2">
        <v>3511.47</v>
      </c>
      <c r="N6" s="2">
        <v>20</v>
      </c>
      <c r="O6" s="4">
        <v>19664.23</v>
      </c>
      <c r="P6" s="2">
        <f>IFERROR(Table1[[#This Row],[Units Sold]]*Table1[[#This Row],[Unit Price]],"Na")</f>
        <v>24580.289999999997</v>
      </c>
    </row>
    <row r="7" spans="1:18" x14ac:dyDescent="0.35">
      <c r="A7" s="3">
        <v>10006</v>
      </c>
      <c r="B7" s="2">
        <v>1071</v>
      </c>
      <c r="C7" s="1">
        <v>45260</v>
      </c>
      <c r="D7" s="1">
        <v>45263</v>
      </c>
      <c r="E7" s="2" t="s">
        <v>42</v>
      </c>
      <c r="F7" s="2" t="s">
        <v>43</v>
      </c>
      <c r="G7" s="2" t="s">
        <v>26</v>
      </c>
      <c r="H7" s="2" t="s">
        <v>1</v>
      </c>
      <c r="I7" s="2" t="s">
        <v>21</v>
      </c>
      <c r="J7" s="2" t="s">
        <v>44</v>
      </c>
      <c r="K7" s="2" t="s">
        <v>35</v>
      </c>
      <c r="L7" s="2" t="s">
        <v>65</v>
      </c>
      <c r="M7" s="2">
        <v>3189.55</v>
      </c>
      <c r="N7" s="2">
        <v>10</v>
      </c>
      <c r="O7" s="4">
        <v>8611.7800000000007</v>
      </c>
      <c r="P7" s="2" t="str">
        <f>IFERROR(Table1[[#This Row],[Units Sold]]*Table1[[#This Row],[Unit Price]],"Na")</f>
        <v>Na</v>
      </c>
    </row>
    <row r="8" spans="1:18" x14ac:dyDescent="0.35">
      <c r="A8" s="3">
        <v>10007</v>
      </c>
      <c r="B8" s="2">
        <v>1700</v>
      </c>
      <c r="C8" s="1">
        <v>45050</v>
      </c>
      <c r="D8" s="1">
        <v>45054</v>
      </c>
      <c r="E8" s="2" t="s">
        <v>36</v>
      </c>
      <c r="F8" s="2" t="s">
        <v>43</v>
      </c>
      <c r="G8" s="2" t="s">
        <v>19</v>
      </c>
      <c r="H8" s="2" t="s">
        <v>0</v>
      </c>
      <c r="I8" s="2" t="str">
        <f>I9</f>
        <v>Fashion</v>
      </c>
      <c r="J8" s="2" t="s">
        <v>34</v>
      </c>
      <c r="K8" s="2" t="s">
        <v>45</v>
      </c>
      <c r="L8" s="2" t="s">
        <v>65</v>
      </c>
      <c r="M8" s="2">
        <v>3030.42</v>
      </c>
      <c r="N8" s="2">
        <v>10</v>
      </c>
      <c r="O8" s="4">
        <v>13636.89</v>
      </c>
      <c r="P8" s="2" t="str">
        <f>IFERROR(Table1[[#This Row],[Units Sold]]*Table1[[#This Row],[Unit Price]],"Na")</f>
        <v>Na</v>
      </c>
    </row>
    <row r="9" spans="1:18" x14ac:dyDescent="0.35">
      <c r="A9" s="3">
        <v>10008</v>
      </c>
      <c r="B9" s="2">
        <v>1020</v>
      </c>
      <c r="C9" s="1">
        <v>45040</v>
      </c>
      <c r="D9" s="1">
        <v>45041</v>
      </c>
      <c r="E9" s="2" t="s">
        <v>46</v>
      </c>
      <c r="F9" s="2" t="s">
        <v>18</v>
      </c>
      <c r="G9" s="2" t="s">
        <v>26</v>
      </c>
      <c r="H9" s="2" t="s">
        <v>20</v>
      </c>
      <c r="I9" s="2" t="s">
        <v>33</v>
      </c>
      <c r="J9" s="2" t="s">
        <v>34</v>
      </c>
      <c r="K9" s="2" t="str">
        <f>K8</f>
        <v>BrandC</v>
      </c>
      <c r="L9" s="2">
        <v>4</v>
      </c>
      <c r="M9" s="2">
        <v>2310.83</v>
      </c>
      <c r="N9" s="2">
        <v>10</v>
      </c>
      <c r="O9" s="4">
        <v>8318.99</v>
      </c>
      <c r="P9" s="2">
        <f>IFERROR(Table1[[#This Row],[Units Sold]]*Table1[[#This Row],[Unit Price]],"Na")</f>
        <v>9243.32</v>
      </c>
    </row>
    <row r="10" spans="1:18" x14ac:dyDescent="0.35">
      <c r="A10" s="3">
        <v>10009</v>
      </c>
      <c r="B10" s="2">
        <v>1614</v>
      </c>
      <c r="C10" s="1">
        <v>45204</v>
      </c>
      <c r="D10" s="1">
        <v>45213</v>
      </c>
      <c r="E10" s="2" t="s">
        <v>17</v>
      </c>
      <c r="F10" s="2" t="s">
        <v>31</v>
      </c>
      <c r="G10" s="2" t="s">
        <v>26</v>
      </c>
      <c r="H10" s="2" t="s">
        <v>27</v>
      </c>
      <c r="I10" s="2" t="s">
        <v>33</v>
      </c>
      <c r="J10" s="2" t="s">
        <v>48</v>
      </c>
      <c r="K10" s="2" t="s">
        <v>30</v>
      </c>
      <c r="L10" s="2">
        <v>5</v>
      </c>
      <c r="M10" s="2">
        <v>1098.04</v>
      </c>
      <c r="N10" s="2">
        <v>15</v>
      </c>
      <c r="O10" s="4">
        <v>4666.67</v>
      </c>
      <c r="P10" s="2">
        <f>IFERROR(Table1[[#This Row],[Units Sold]]*Table1[[#This Row],[Unit Price]],"Na")</f>
        <v>5490.2</v>
      </c>
    </row>
    <row r="11" spans="1:18" x14ac:dyDescent="0.35">
      <c r="A11" s="3">
        <v>10010</v>
      </c>
      <c r="B11" s="2">
        <v>1121</v>
      </c>
      <c r="C11" s="1">
        <v>45139</v>
      </c>
      <c r="D11" s="1">
        <v>45147</v>
      </c>
      <c r="E11" s="2" t="s">
        <v>36</v>
      </c>
      <c r="F11" s="2" t="s">
        <v>40</v>
      </c>
      <c r="G11" s="2" t="s">
        <v>26</v>
      </c>
      <c r="H11" s="2" t="s">
        <v>37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4">
        <v>7122.64</v>
      </c>
      <c r="P11" s="2">
        <f>IFERROR(Table1[[#This Row],[Units Sold]]*Table1[[#This Row],[Unit Price]],"Na")</f>
        <v>8903.3000000000011</v>
      </c>
    </row>
    <row r="12" spans="1:18" x14ac:dyDescent="0.35">
      <c r="A12" s="3">
        <v>10011</v>
      </c>
      <c r="B12" s="2">
        <v>1466</v>
      </c>
      <c r="C12" s="1">
        <v>45098</v>
      </c>
      <c r="D12" s="1">
        <v>45106</v>
      </c>
      <c r="E12" s="2" t="s">
        <v>36</v>
      </c>
      <c r="F12" s="2" t="s">
        <v>40</v>
      </c>
      <c r="G12" s="2" t="s">
        <v>19</v>
      </c>
      <c r="H12" s="2" t="s">
        <v>37</v>
      </c>
      <c r="I12" s="2" t="str">
        <f>I13</f>
        <v>Electronics</v>
      </c>
      <c r="J12" s="2" t="s">
        <v>50</v>
      </c>
      <c r="K12" s="2" t="str">
        <f>K11</f>
        <v>BrandB</v>
      </c>
      <c r="L12" s="2">
        <v>6</v>
      </c>
      <c r="M12" s="2">
        <v>3205.25</v>
      </c>
      <c r="N12" s="2">
        <v>0</v>
      </c>
      <c r="O12" s="4">
        <v>19231.5</v>
      </c>
      <c r="P12" s="2">
        <f>IFERROR(Table1[[#This Row],[Units Sold]]*Table1[[#This Row],[Unit Price]],"Na")</f>
        <v>19231.5</v>
      </c>
    </row>
    <row r="13" spans="1:18" x14ac:dyDescent="0.35">
      <c r="A13" s="3">
        <v>10012</v>
      </c>
      <c r="B13" s="2">
        <v>1214</v>
      </c>
      <c r="C13" s="1">
        <v>45214</v>
      </c>
      <c r="D13" s="1">
        <v>45220</v>
      </c>
      <c r="E13" s="2" t="s">
        <v>46</v>
      </c>
      <c r="F13" s="2" t="s">
        <v>25</v>
      </c>
      <c r="G13" s="2" t="s">
        <v>26</v>
      </c>
      <c r="H13" s="2" t="s">
        <v>0</v>
      </c>
      <c r="I13" s="2" t="s">
        <v>49</v>
      </c>
      <c r="J13" s="2" t="s">
        <v>51</v>
      </c>
      <c r="K13" s="2" t="s">
        <v>23</v>
      </c>
      <c r="L13" s="2">
        <v>6</v>
      </c>
      <c r="M13" s="2">
        <v>272.35000000000002</v>
      </c>
      <c r="N13" s="2">
        <v>5</v>
      </c>
      <c r="O13" s="4">
        <v>1552.39</v>
      </c>
      <c r="P13" s="2">
        <f>IFERROR(Table1[[#This Row],[Units Sold]]*Table1[[#This Row],[Unit Price]],"Na")</f>
        <v>1634.1000000000001</v>
      </c>
    </row>
    <row r="14" spans="1:18" x14ac:dyDescent="0.35">
      <c r="A14" s="3">
        <v>10013</v>
      </c>
      <c r="B14" s="2">
        <v>1330</v>
      </c>
      <c r="C14" s="1">
        <v>45100</v>
      </c>
      <c r="D14" s="1">
        <v>45107</v>
      </c>
      <c r="E14" s="2" t="s">
        <v>18</v>
      </c>
      <c r="F14" s="2" t="s">
        <v>25</v>
      </c>
      <c r="G14" s="2" t="s">
        <v>19</v>
      </c>
      <c r="H14" s="2" t="s">
        <v>37</v>
      </c>
      <c r="I14" s="2" t="s">
        <v>21</v>
      </c>
      <c r="J14" s="2" t="s">
        <v>44</v>
      </c>
      <c r="K14" s="2" t="s">
        <v>23</v>
      </c>
      <c r="L14" s="2" t="s">
        <v>65</v>
      </c>
      <c r="M14" s="2">
        <v>3160.9</v>
      </c>
      <c r="N14" s="2">
        <v>0</v>
      </c>
      <c r="O14" s="4">
        <v>25287.200000000001</v>
      </c>
      <c r="P14" s="2" t="str">
        <f>IFERROR(Table1[[#This Row],[Units Sold]]*Table1[[#This Row],[Unit Price]],"Na")</f>
        <v>Na</v>
      </c>
    </row>
    <row r="15" spans="1:18" x14ac:dyDescent="0.35">
      <c r="A15" s="3">
        <v>10014</v>
      </c>
      <c r="B15" s="2">
        <v>1458</v>
      </c>
      <c r="C15" s="1">
        <v>45039</v>
      </c>
      <c r="D15" s="1">
        <v>45045</v>
      </c>
      <c r="E15" s="2" t="s">
        <v>39</v>
      </c>
      <c r="F15" s="2" t="s">
        <v>40</v>
      </c>
      <c r="G15" s="2" t="s">
        <v>32</v>
      </c>
      <c r="H15" s="2" t="s">
        <v>37</v>
      </c>
      <c r="I15" s="2" t="str">
        <f>I16</f>
        <v>Beauty</v>
      </c>
      <c r="J15" s="2" t="s">
        <v>38</v>
      </c>
      <c r="K15" s="2" t="s">
        <v>30</v>
      </c>
      <c r="L15" s="2">
        <v>8</v>
      </c>
      <c r="M15" s="2">
        <v>1074.27</v>
      </c>
      <c r="N15" s="2">
        <v>15</v>
      </c>
      <c r="O15" s="4">
        <v>7305.04</v>
      </c>
      <c r="P15" s="2">
        <f>IFERROR(Table1[[#This Row],[Units Sold]]*Table1[[#This Row],[Unit Price]],"Na")</f>
        <v>8594.16</v>
      </c>
    </row>
    <row r="16" spans="1:18" x14ac:dyDescent="0.35">
      <c r="A16" s="3">
        <v>10015</v>
      </c>
      <c r="B16" s="2">
        <v>1087</v>
      </c>
      <c r="C16" s="1">
        <v>45048</v>
      </c>
      <c r="D16" s="1">
        <v>45057</v>
      </c>
      <c r="E16" s="2" t="s">
        <v>42</v>
      </c>
      <c r="F16" s="2" t="s">
        <v>25</v>
      </c>
      <c r="G16" s="2" t="s">
        <v>26</v>
      </c>
      <c r="H16" s="2" t="s">
        <v>20</v>
      </c>
      <c r="I16" s="2" t="s">
        <v>52</v>
      </c>
      <c r="J16" s="2" t="s">
        <v>53</v>
      </c>
      <c r="K16" s="2" t="s">
        <v>23</v>
      </c>
      <c r="L16" s="2" t="s">
        <v>65</v>
      </c>
      <c r="M16" s="2">
        <v>705.59</v>
      </c>
      <c r="N16" s="2">
        <v>10</v>
      </c>
      <c r="O16" s="4">
        <v>5715.28</v>
      </c>
      <c r="P16" s="2" t="str">
        <f>IFERROR(Table1[[#This Row],[Units Sold]]*Table1[[#This Row],[Unit Price]],"Na")</f>
        <v>Na</v>
      </c>
    </row>
    <row r="17" spans="1:16" x14ac:dyDescent="0.35">
      <c r="A17" s="3">
        <v>10016</v>
      </c>
      <c r="B17" s="2">
        <v>1372</v>
      </c>
      <c r="C17" s="1">
        <v>44958</v>
      </c>
      <c r="D17" s="1">
        <v>44961</v>
      </c>
      <c r="E17" s="2" t="s">
        <v>24</v>
      </c>
      <c r="F17" s="2" t="s">
        <v>31</v>
      </c>
      <c r="G17" s="2" t="s">
        <v>19</v>
      </c>
      <c r="H17" s="2" t="s">
        <v>1</v>
      </c>
      <c r="I17" s="2" t="str">
        <f>I18</f>
        <v>Fashion</v>
      </c>
      <c r="J17" s="2" t="s">
        <v>41</v>
      </c>
      <c r="K17" s="2" t="s">
        <v>23</v>
      </c>
      <c r="L17" s="2">
        <v>8</v>
      </c>
      <c r="M17" s="2">
        <v>595.45000000000005</v>
      </c>
      <c r="N17" s="2">
        <v>5</v>
      </c>
      <c r="O17" s="4">
        <v>4525.42</v>
      </c>
      <c r="P17" s="2">
        <f>IFERROR(Table1[[#This Row],[Units Sold]]*Table1[[#This Row],[Unit Price]],"Na")</f>
        <v>4763.6000000000004</v>
      </c>
    </row>
    <row r="18" spans="1:16" x14ac:dyDescent="0.35">
      <c r="A18" s="3">
        <v>10017</v>
      </c>
      <c r="B18" s="2">
        <v>1099</v>
      </c>
      <c r="C18" s="1">
        <v>45148</v>
      </c>
      <c r="D18" s="1">
        <v>45151</v>
      </c>
      <c r="E18" s="2" t="s">
        <v>18</v>
      </c>
      <c r="F18" s="2" t="s">
        <v>54</v>
      </c>
      <c r="G18" s="2" t="s">
        <v>19</v>
      </c>
      <c r="H18" s="2" t="s">
        <v>0</v>
      </c>
      <c r="I18" s="2" t="s">
        <v>33</v>
      </c>
      <c r="J18" s="2" t="s">
        <v>41</v>
      </c>
      <c r="K18" s="2" t="str">
        <f>K17</f>
        <v>BrandA</v>
      </c>
      <c r="L18" s="2" t="s">
        <v>65</v>
      </c>
      <c r="M18" s="2">
        <v>254.91</v>
      </c>
      <c r="N18" s="2">
        <v>15</v>
      </c>
      <c r="O18" s="4">
        <v>433.35</v>
      </c>
      <c r="P18" s="2" t="str">
        <f>IFERROR(Table1[[#This Row],[Units Sold]]*Table1[[#This Row],[Unit Price]],"Na")</f>
        <v>Na</v>
      </c>
    </row>
    <row r="19" spans="1:16" x14ac:dyDescent="0.35">
      <c r="A19" s="3">
        <v>10018</v>
      </c>
      <c r="B19" s="2">
        <v>1871</v>
      </c>
      <c r="C19" s="1">
        <v>45045</v>
      </c>
      <c r="D19" s="1">
        <v>45048</v>
      </c>
      <c r="E19" s="2" t="s">
        <v>17</v>
      </c>
      <c r="F19" s="2" t="s">
        <v>31</v>
      </c>
      <c r="G19" s="2" t="s">
        <v>26</v>
      </c>
      <c r="H19" s="2" t="s">
        <v>20</v>
      </c>
      <c r="I19" s="2" t="s">
        <v>21</v>
      </c>
      <c r="J19" s="2" t="s">
        <v>55</v>
      </c>
      <c r="K19" s="2" t="s">
        <v>30</v>
      </c>
      <c r="L19" s="2">
        <v>1</v>
      </c>
      <c r="M19" s="2">
        <v>2165.81</v>
      </c>
      <c r="N19" s="2">
        <v>15</v>
      </c>
      <c r="O19" s="4">
        <v>1840.94</v>
      </c>
      <c r="P19" s="2">
        <f>IFERROR(Table1[[#This Row],[Units Sold]]*Table1[[#This Row],[Unit Price]],"Na")</f>
        <v>2165.81</v>
      </c>
    </row>
    <row r="20" spans="1:16" x14ac:dyDescent="0.35">
      <c r="A20" s="3">
        <v>10019</v>
      </c>
      <c r="B20" s="2">
        <v>1663</v>
      </c>
      <c r="C20" s="1">
        <v>44965</v>
      </c>
      <c r="D20" s="1">
        <v>44968</v>
      </c>
      <c r="E20" s="2" t="s">
        <v>36</v>
      </c>
      <c r="F20" s="2" t="s">
        <v>40</v>
      </c>
      <c r="G20" s="2" t="s">
        <v>32</v>
      </c>
      <c r="H20" s="2" t="s">
        <v>1</v>
      </c>
      <c r="I20" s="2" t="str">
        <f t="shared" ref="I20:I22" si="1">I21</f>
        <v>Books</v>
      </c>
      <c r="J20" s="2" t="s">
        <v>41</v>
      </c>
      <c r="K20" s="2" t="s">
        <v>35</v>
      </c>
      <c r="L20" s="2">
        <v>2</v>
      </c>
      <c r="M20" s="2">
        <v>990.3</v>
      </c>
      <c r="N20" s="2">
        <v>15</v>
      </c>
      <c r="O20" s="4">
        <v>1683.51</v>
      </c>
      <c r="P20" s="2">
        <f>IFERROR(Table1[[#This Row],[Units Sold]]*Table1[[#This Row],[Unit Price]],"Na")</f>
        <v>1980.6</v>
      </c>
    </row>
    <row r="21" spans="1:16" x14ac:dyDescent="0.35">
      <c r="A21" s="3">
        <v>10020</v>
      </c>
      <c r="B21" s="2">
        <v>1130</v>
      </c>
      <c r="C21" s="1">
        <v>45194</v>
      </c>
      <c r="D21" s="1">
        <v>45203</v>
      </c>
      <c r="E21" s="2" t="s">
        <v>46</v>
      </c>
      <c r="F21" s="2" t="s">
        <v>40</v>
      </c>
      <c r="G21" s="2" t="s">
        <v>19</v>
      </c>
      <c r="H21" s="2" t="s">
        <v>20</v>
      </c>
      <c r="I21" s="2" t="str">
        <f t="shared" si="1"/>
        <v>Books</v>
      </c>
      <c r="J21" s="2" t="s">
        <v>51</v>
      </c>
      <c r="K21" s="2" t="s">
        <v>23</v>
      </c>
      <c r="L21" s="2" t="s">
        <v>65</v>
      </c>
      <c r="M21" s="2">
        <v>3959.31</v>
      </c>
      <c r="N21" s="2">
        <v>5</v>
      </c>
      <c r="O21" s="4">
        <v>7522.69</v>
      </c>
      <c r="P21" s="2" t="str">
        <f>IFERROR(Table1[[#This Row],[Units Sold]]*Table1[[#This Row],[Unit Price]],"Na")</f>
        <v>Na</v>
      </c>
    </row>
    <row r="22" spans="1:16" x14ac:dyDescent="0.35">
      <c r="A22" s="3">
        <v>10021</v>
      </c>
      <c r="B22" s="2">
        <v>1661</v>
      </c>
      <c r="C22" s="1">
        <v>45159</v>
      </c>
      <c r="D22" s="1">
        <v>45163</v>
      </c>
      <c r="E22" s="2" t="s">
        <v>46</v>
      </c>
      <c r="F22" s="2" t="s">
        <v>31</v>
      </c>
      <c r="G22" s="2" t="s">
        <v>26</v>
      </c>
      <c r="H22" s="2" t="s">
        <v>20</v>
      </c>
      <c r="I22" s="2" t="str">
        <f t="shared" si="1"/>
        <v>Books</v>
      </c>
      <c r="J22" s="2" t="s">
        <v>56</v>
      </c>
      <c r="K22" s="2" t="s">
        <v>23</v>
      </c>
      <c r="L22" s="2">
        <v>3</v>
      </c>
      <c r="M22" s="2">
        <v>2361.58</v>
      </c>
      <c r="N22" s="2">
        <v>5</v>
      </c>
      <c r="O22" s="4">
        <v>6730.5</v>
      </c>
      <c r="P22" s="2">
        <f>IFERROR(Table1[[#This Row],[Units Sold]]*Table1[[#This Row],[Unit Price]],"Na")</f>
        <v>7084.74</v>
      </c>
    </row>
    <row r="23" spans="1:16" x14ac:dyDescent="0.35">
      <c r="A23" s="3">
        <v>10022</v>
      </c>
      <c r="B23" s="2">
        <v>1308</v>
      </c>
      <c r="C23" s="1">
        <v>44944</v>
      </c>
      <c r="D23" s="1">
        <v>44951</v>
      </c>
      <c r="E23" s="2" t="s">
        <v>39</v>
      </c>
      <c r="F23" s="2" t="s">
        <v>25</v>
      </c>
      <c r="G23" s="2" t="s">
        <v>32</v>
      </c>
      <c r="H23" s="2" t="s">
        <v>37</v>
      </c>
      <c r="I23" s="2" t="s">
        <v>57</v>
      </c>
      <c r="J23" s="2" t="s">
        <v>58</v>
      </c>
      <c r="K23" s="2" t="s">
        <v>35</v>
      </c>
      <c r="L23" s="2">
        <v>7</v>
      </c>
      <c r="M23" s="2">
        <v>680.86</v>
      </c>
      <c r="N23" s="2">
        <v>20</v>
      </c>
      <c r="O23" s="4">
        <v>3812.82</v>
      </c>
      <c r="P23" s="2">
        <f>IFERROR(Table1[[#This Row],[Units Sold]]*Table1[[#This Row],[Unit Price]],"Na")</f>
        <v>4766.0200000000004</v>
      </c>
    </row>
    <row r="24" spans="1:16" x14ac:dyDescent="0.35">
      <c r="A24" s="3">
        <v>10023</v>
      </c>
      <c r="B24" s="2">
        <v>1769</v>
      </c>
      <c r="C24" s="1">
        <v>45075</v>
      </c>
      <c r="D24" s="1">
        <v>45084</v>
      </c>
      <c r="E24" s="2" t="s">
        <v>18</v>
      </c>
      <c r="F24" s="2" t="s">
        <v>25</v>
      </c>
      <c r="G24" s="2" t="s">
        <v>19</v>
      </c>
      <c r="H24" s="2" t="s">
        <v>1</v>
      </c>
      <c r="I24" s="2" t="s">
        <v>33</v>
      </c>
      <c r="J24" s="2" t="s">
        <v>34</v>
      </c>
      <c r="K24" s="2" t="s">
        <v>45</v>
      </c>
      <c r="L24" s="2">
        <v>2</v>
      </c>
      <c r="M24" s="2">
        <v>2801.74</v>
      </c>
      <c r="N24" s="2">
        <v>20</v>
      </c>
      <c r="O24" s="4">
        <v>4482.78</v>
      </c>
      <c r="P24" s="2">
        <f>IFERROR(Table1[[#This Row],[Units Sold]]*Table1[[#This Row],[Unit Price]],"Na")</f>
        <v>5603.48</v>
      </c>
    </row>
    <row r="25" spans="1:16" x14ac:dyDescent="0.35">
      <c r="A25" s="3">
        <v>10024</v>
      </c>
      <c r="B25" s="2">
        <v>1343</v>
      </c>
      <c r="C25" s="1">
        <v>45075</v>
      </c>
      <c r="D25" s="1">
        <v>45082</v>
      </c>
      <c r="E25" s="2" t="s">
        <v>24</v>
      </c>
      <c r="F25" s="2" t="s">
        <v>43</v>
      </c>
      <c r="G25" s="2" t="s">
        <v>19</v>
      </c>
      <c r="H25" s="2" t="s">
        <v>0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4">
        <v>3606.31</v>
      </c>
      <c r="P25" s="2">
        <f>IFERROR(Table1[[#This Row],[Units Sold]]*Table1[[#This Row],[Unit Price]],"Na")</f>
        <v>3606.31</v>
      </c>
    </row>
    <row r="26" spans="1:16" x14ac:dyDescent="0.35">
      <c r="A26" s="3">
        <v>10025</v>
      </c>
      <c r="B26" s="2">
        <v>1491</v>
      </c>
      <c r="C26" s="1">
        <v>45052</v>
      </c>
      <c r="D26" s="1">
        <v>45061</v>
      </c>
      <c r="E26" s="2" t="s">
        <v>39</v>
      </c>
      <c r="F26" s="2" t="s">
        <v>40</v>
      </c>
      <c r="G26" s="2" t="s">
        <v>32</v>
      </c>
      <c r="H26" s="2" t="s">
        <v>0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4">
        <v>17207.96</v>
      </c>
      <c r="P26" s="2">
        <f>IFERROR(Table1[[#This Row],[Units Sold]]*Table1[[#This Row],[Unit Price]],"Na")</f>
        <v>18113.64</v>
      </c>
    </row>
    <row r="27" spans="1:16" x14ac:dyDescent="0.35">
      <c r="A27" s="3">
        <v>10026</v>
      </c>
      <c r="B27" s="2">
        <v>1413</v>
      </c>
      <c r="C27" s="1">
        <v>45228</v>
      </c>
      <c r="D27" s="1">
        <v>45231</v>
      </c>
      <c r="E27" s="2" t="s">
        <v>36</v>
      </c>
      <c r="F27" s="2" t="s">
        <v>18</v>
      </c>
      <c r="G27" s="2" t="s">
        <v>32</v>
      </c>
      <c r="H27" s="2" t="s">
        <v>1</v>
      </c>
      <c r="I27" s="2" t="s">
        <v>52</v>
      </c>
      <c r="J27" s="2" t="s">
        <v>60</v>
      </c>
      <c r="K27" s="2" t="s">
        <v>35</v>
      </c>
      <c r="L27" s="2">
        <v>9</v>
      </c>
      <c r="M27" s="2">
        <v>444.29</v>
      </c>
      <c r="N27" s="2">
        <v>5</v>
      </c>
      <c r="O27" s="4">
        <v>3798.68</v>
      </c>
      <c r="P27" s="2">
        <f>IFERROR(Table1[[#This Row],[Units Sold]]*Table1[[#This Row],[Unit Price]],"Na")</f>
        <v>3998.61</v>
      </c>
    </row>
    <row r="28" spans="1:16" x14ac:dyDescent="0.35">
      <c r="A28" s="3">
        <v>10027</v>
      </c>
      <c r="B28" s="2">
        <v>1805</v>
      </c>
      <c r="C28" s="1">
        <v>45286</v>
      </c>
      <c r="D28" s="1">
        <v>45290</v>
      </c>
      <c r="E28" s="2" t="s">
        <v>39</v>
      </c>
      <c r="F28" s="2" t="s">
        <v>43</v>
      </c>
      <c r="G28" s="2" t="s">
        <v>26</v>
      </c>
      <c r="H28" s="2" t="s">
        <v>37</v>
      </c>
      <c r="I28" s="2" t="s">
        <v>57</v>
      </c>
      <c r="J28" s="2" t="s">
        <v>58</v>
      </c>
      <c r="K28" s="2" t="s">
        <v>23</v>
      </c>
      <c r="L28" s="2">
        <v>3</v>
      </c>
      <c r="M28" s="2">
        <v>3599.15</v>
      </c>
      <c r="N28" s="2">
        <v>5</v>
      </c>
      <c r="O28" s="4">
        <v>10257.58</v>
      </c>
      <c r="P28" s="2">
        <f>IFERROR(Table1[[#This Row],[Units Sold]]*Table1[[#This Row],[Unit Price]],"Na")</f>
        <v>10797.45</v>
      </c>
    </row>
    <row r="29" spans="1:16" x14ac:dyDescent="0.35">
      <c r="A29" s="3">
        <v>10028</v>
      </c>
      <c r="B29" s="2">
        <v>1385</v>
      </c>
      <c r="C29" s="1">
        <v>45164</v>
      </c>
      <c r="D29" s="1">
        <v>45172</v>
      </c>
      <c r="E29" s="2" t="s">
        <v>42</v>
      </c>
      <c r="F29" s="2" t="s">
        <v>25</v>
      </c>
      <c r="G29" s="2" t="s">
        <v>26</v>
      </c>
      <c r="H29" s="2" t="s">
        <v>27</v>
      </c>
      <c r="I29" s="2" t="s">
        <v>49</v>
      </c>
      <c r="J29" s="2" t="s">
        <v>51</v>
      </c>
      <c r="K29" s="2" t="s">
        <v>35</v>
      </c>
      <c r="L29" s="2">
        <v>6</v>
      </c>
      <c r="M29" s="2">
        <v>3206.63</v>
      </c>
      <c r="N29" s="2">
        <v>20</v>
      </c>
      <c r="O29" s="4">
        <v>15391.82</v>
      </c>
      <c r="P29" s="2">
        <f>IFERROR(Table1[[#This Row],[Units Sold]]*Table1[[#This Row],[Unit Price]],"Na")</f>
        <v>19239.78</v>
      </c>
    </row>
    <row r="30" spans="1:16" x14ac:dyDescent="0.35">
      <c r="A30" s="3">
        <v>10029</v>
      </c>
      <c r="B30" s="2">
        <v>1191</v>
      </c>
      <c r="C30" s="1">
        <v>45061</v>
      </c>
      <c r="D30" s="1">
        <v>45067</v>
      </c>
      <c r="E30" s="2" t="s">
        <v>46</v>
      </c>
      <c r="F30" s="2" t="s">
        <v>31</v>
      </c>
      <c r="G30" s="2" t="s">
        <v>19</v>
      </c>
      <c r="H30" s="2" t="s">
        <v>20</v>
      </c>
      <c r="I30" s="2" t="s">
        <v>28</v>
      </c>
      <c r="J30" s="2" t="s">
        <v>29</v>
      </c>
      <c r="K30" s="2" t="s">
        <v>35</v>
      </c>
      <c r="L30" s="2">
        <v>3</v>
      </c>
      <c r="M30" s="2">
        <v>759.47</v>
      </c>
      <c r="N30" s="2">
        <v>15</v>
      </c>
      <c r="O30" s="4">
        <v>1936.65</v>
      </c>
      <c r="P30" s="2">
        <f>IFERROR(Table1[[#This Row],[Units Sold]]*Table1[[#This Row],[Unit Price]],"Na")</f>
        <v>2278.41</v>
      </c>
    </row>
    <row r="31" spans="1:16" x14ac:dyDescent="0.35">
      <c r="A31" s="3">
        <v>10030</v>
      </c>
      <c r="B31" s="2">
        <v>1955</v>
      </c>
      <c r="C31" s="1">
        <v>45077</v>
      </c>
      <c r="D31" s="1">
        <v>45082</v>
      </c>
      <c r="E31" s="2" t="s">
        <v>46</v>
      </c>
      <c r="F31" s="2" t="s">
        <v>25</v>
      </c>
      <c r="G31" s="2" t="s">
        <v>32</v>
      </c>
      <c r="H31" s="2" t="s">
        <v>37</v>
      </c>
      <c r="I31" s="2" t="s">
        <v>28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4">
        <v>314.44</v>
      </c>
      <c r="P31" s="2">
        <f>IFERROR(Table1[[#This Row],[Units Sold]]*Table1[[#This Row],[Unit Price]],"Na")</f>
        <v>349.38</v>
      </c>
    </row>
    <row r="32" spans="1:16" x14ac:dyDescent="0.35">
      <c r="A32" s="3">
        <v>10031</v>
      </c>
      <c r="B32" s="2">
        <v>1276</v>
      </c>
      <c r="C32" s="1">
        <v>45162</v>
      </c>
      <c r="D32" s="1">
        <v>45166</v>
      </c>
      <c r="E32" s="2" t="s">
        <v>17</v>
      </c>
      <c r="F32" s="2" t="s">
        <v>31</v>
      </c>
      <c r="G32" s="2" t="s">
        <v>32</v>
      </c>
      <c r="H32" s="2" t="s">
        <v>1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4">
        <v>9182.6</v>
      </c>
      <c r="P32" s="2">
        <f>IFERROR(Table1[[#This Row],[Units Sold]]*Table1[[#This Row],[Unit Price]],"Na")</f>
        <v>11478.25</v>
      </c>
    </row>
    <row r="33" spans="1:16" x14ac:dyDescent="0.35">
      <c r="A33" s="3">
        <v>10032</v>
      </c>
      <c r="B33" s="2">
        <v>1160</v>
      </c>
      <c r="C33" s="1">
        <v>45150</v>
      </c>
      <c r="D33" s="1">
        <v>45158</v>
      </c>
      <c r="E33" s="2" t="s">
        <v>17</v>
      </c>
      <c r="F33" s="2" t="s">
        <v>43</v>
      </c>
      <c r="G33" s="2" t="s">
        <v>32</v>
      </c>
      <c r="H33" s="2" t="s">
        <v>20</v>
      </c>
      <c r="I33" s="2" t="s">
        <v>21</v>
      </c>
      <c r="J33" s="2" t="s">
        <v>44</v>
      </c>
      <c r="K33" s="2" t="s">
        <v>23</v>
      </c>
      <c r="L33" s="2">
        <v>4</v>
      </c>
      <c r="M33" s="2">
        <v>750.74</v>
      </c>
      <c r="N33" s="2">
        <v>5</v>
      </c>
      <c r="O33" s="4">
        <v>2852.81</v>
      </c>
      <c r="P33" s="2">
        <f>IFERROR(Table1[[#This Row],[Units Sold]]*Table1[[#This Row],[Unit Price]],"Na")</f>
        <v>3002.96</v>
      </c>
    </row>
    <row r="34" spans="1:16" x14ac:dyDescent="0.35">
      <c r="A34" s="3">
        <v>10033</v>
      </c>
      <c r="B34" s="2">
        <v>1459</v>
      </c>
      <c r="C34" s="1">
        <v>45129</v>
      </c>
      <c r="D34" s="1">
        <v>45130</v>
      </c>
      <c r="E34" s="2" t="s">
        <v>24</v>
      </c>
      <c r="F34" s="2" t="s">
        <v>40</v>
      </c>
      <c r="G34" s="2" t="s">
        <v>19</v>
      </c>
      <c r="H34" s="2" t="s">
        <v>0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4">
        <v>18833.810000000001</v>
      </c>
      <c r="P34" s="2">
        <f>IFERROR(Table1[[#This Row],[Units Sold]]*Table1[[#This Row],[Unit Price]],"Na")</f>
        <v>23542.26</v>
      </c>
    </row>
    <row r="35" spans="1:16" x14ac:dyDescent="0.35">
      <c r="A35" s="3">
        <v>10034</v>
      </c>
      <c r="B35" s="2">
        <v>1313</v>
      </c>
      <c r="C35" s="1">
        <v>45182</v>
      </c>
      <c r="D35" s="1">
        <v>45191</v>
      </c>
      <c r="E35" s="2" t="s">
        <v>36</v>
      </c>
      <c r="F35" s="2" t="s">
        <v>25</v>
      </c>
      <c r="G35" s="2" t="s">
        <v>32</v>
      </c>
      <c r="H35" s="2" t="s">
        <v>27</v>
      </c>
      <c r="I35" s="2" t="s">
        <v>33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4">
        <v>9177.5400000000009</v>
      </c>
      <c r="P35" s="2">
        <f>IFERROR(Table1[[#This Row],[Units Sold]]*Table1[[#This Row],[Unit Price]],"Na")</f>
        <v>9177.5399999999991</v>
      </c>
    </row>
    <row r="36" spans="1:16" x14ac:dyDescent="0.35">
      <c r="A36" s="3">
        <v>10035</v>
      </c>
      <c r="B36" s="2">
        <v>1021</v>
      </c>
      <c r="C36" s="1">
        <v>45012</v>
      </c>
      <c r="D36" s="1">
        <v>45013</v>
      </c>
      <c r="E36" s="2" t="s">
        <v>42</v>
      </c>
      <c r="F36" s="2" t="s">
        <v>31</v>
      </c>
      <c r="G36" s="2" t="s">
        <v>32</v>
      </c>
      <c r="H36" s="2" t="s">
        <v>0</v>
      </c>
      <c r="I36" s="2" t="s">
        <v>33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4">
        <v>24369.86</v>
      </c>
      <c r="P36" s="2">
        <f>IFERROR(Table1[[#This Row],[Units Sold]]*Table1[[#This Row],[Unit Price]],"Na")</f>
        <v>25652.48</v>
      </c>
    </row>
    <row r="37" spans="1:16" x14ac:dyDescent="0.35">
      <c r="A37" s="3">
        <v>10036</v>
      </c>
      <c r="B37" s="2">
        <v>1252</v>
      </c>
      <c r="C37" s="1">
        <v>45076</v>
      </c>
      <c r="D37" s="1">
        <v>45084</v>
      </c>
      <c r="E37" s="2" t="s">
        <v>18</v>
      </c>
      <c r="F37" s="2" t="s">
        <v>40</v>
      </c>
      <c r="G37" s="2" t="s">
        <v>19</v>
      </c>
      <c r="H37" s="2" t="s">
        <v>1</v>
      </c>
      <c r="I37" s="2" t="s">
        <v>28</v>
      </c>
      <c r="J37" s="2" t="s">
        <v>29</v>
      </c>
      <c r="K37" s="2" t="s">
        <v>30</v>
      </c>
      <c r="L37" s="2">
        <v>5</v>
      </c>
      <c r="M37" s="2">
        <v>2327.9</v>
      </c>
      <c r="N37" s="2">
        <v>0</v>
      </c>
      <c r="O37" s="4">
        <v>11639.5</v>
      </c>
      <c r="P37" s="2">
        <f>IFERROR(Table1[[#This Row],[Units Sold]]*Table1[[#This Row],[Unit Price]],"Na")</f>
        <v>11639.5</v>
      </c>
    </row>
    <row r="38" spans="1:16" x14ac:dyDescent="0.35">
      <c r="A38" s="3">
        <v>10037</v>
      </c>
      <c r="B38" s="2">
        <v>1747</v>
      </c>
      <c r="C38" s="1">
        <v>45161</v>
      </c>
      <c r="D38" s="1">
        <v>45165</v>
      </c>
      <c r="E38" s="2" t="s">
        <v>39</v>
      </c>
      <c r="F38" s="2" t="s">
        <v>18</v>
      </c>
      <c r="G38" s="2" t="s">
        <v>26</v>
      </c>
      <c r="H38" s="2" t="s">
        <v>20</v>
      </c>
      <c r="I38" s="2" t="s">
        <v>21</v>
      </c>
      <c r="J38" s="2" t="s">
        <v>55</v>
      </c>
      <c r="K38" s="2" t="s">
        <v>23</v>
      </c>
      <c r="L38" s="2">
        <v>4</v>
      </c>
      <c r="M38" s="2">
        <v>853.29</v>
      </c>
      <c r="N38" s="2">
        <v>5</v>
      </c>
      <c r="O38" s="4">
        <v>3242.5</v>
      </c>
      <c r="P38" s="2">
        <f>IFERROR(Table1[[#This Row],[Units Sold]]*Table1[[#This Row],[Unit Price]],"Na")</f>
        <v>3413.16</v>
      </c>
    </row>
    <row r="39" spans="1:16" x14ac:dyDescent="0.35">
      <c r="A39" s="3">
        <v>10038</v>
      </c>
      <c r="B39" s="2">
        <v>1856</v>
      </c>
      <c r="C39" s="1">
        <v>45271</v>
      </c>
      <c r="D39" s="1">
        <v>45280</v>
      </c>
      <c r="E39" s="2" t="s">
        <v>24</v>
      </c>
      <c r="F39" s="2" t="s">
        <v>31</v>
      </c>
      <c r="G39" s="2" t="s">
        <v>26</v>
      </c>
      <c r="H39" s="2" t="s">
        <v>1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4">
        <v>3849.78</v>
      </c>
      <c r="P39" s="2">
        <f>IFERROR(Table1[[#This Row],[Units Sold]]*Table1[[#This Row],[Unit Price]],"Na")</f>
        <v>4812.22</v>
      </c>
    </row>
    <row r="40" spans="1:16" x14ac:dyDescent="0.35">
      <c r="A40" s="8">
        <v>10039</v>
      </c>
      <c r="B40" s="9">
        <v>1560</v>
      </c>
      <c r="C40" s="10">
        <v>44948</v>
      </c>
      <c r="D40" s="10">
        <v>44953</v>
      </c>
      <c r="E40" s="9" t="s">
        <v>36</v>
      </c>
      <c r="F40" s="9" t="s">
        <v>43</v>
      </c>
      <c r="G40" s="9" t="s">
        <v>19</v>
      </c>
      <c r="H40" s="9" t="s">
        <v>20</v>
      </c>
      <c r="I40" s="9" t="s">
        <v>33</v>
      </c>
      <c r="J40" s="9" t="s">
        <v>48</v>
      </c>
      <c r="K40" s="9" t="s">
        <v>45</v>
      </c>
      <c r="L40" s="9">
        <v>7</v>
      </c>
      <c r="M40" s="9">
        <v>2369.42</v>
      </c>
      <c r="N40" s="9">
        <v>15</v>
      </c>
      <c r="O40" s="11">
        <v>14098.05</v>
      </c>
      <c r="P40" s="9">
        <f>IFERROR(Table1[[#This Row],[Units Sold]]*Table1[[#This Row],[Unit Price]],"Na")</f>
        <v>16585.940000000002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2026-10-30T05:47:39Z</dcterms:created>
  <dcterms:modified xsi:type="dcterms:W3CDTF">2026-10-30T08:07:48Z</dcterms:modified>
</cp:coreProperties>
</file>