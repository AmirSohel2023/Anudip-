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C:\Users\amirs\Downloads\"/>
    </mc:Choice>
  </mc:AlternateContent>
  <xr:revisionPtr revIDLastSave="0" documentId="8_{A5466B89-DEFD-4DFD-91D2-FA634867042F}" xr6:coauthVersionLast="47" xr6:coauthVersionMax="47" xr10:uidLastSave="{00000000-0000-0000-0000-000000000000}"/>
  <bookViews>
    <workbookView xWindow="-110" yWindow="-110" windowWidth="19420" windowHeight="11500" activeTab="1" xr2:uid="{5332E040-CDDC-41EC-9FA9-0C1E2AA47144}"/>
  </bookViews>
  <sheets>
    <sheet name="Index Match" sheetId="1" r:id="rId1"/>
    <sheet name="Employees" sheetId="7" r:id="rId2"/>
    <sheet name="Departments" sheetId="4" r:id="rId3"/>
    <sheet name="Performance" sheetId="5" r:id="rId4"/>
  </sheets>
  <externalReferences>
    <externalReference r:id="rId5"/>
  </externalReferences>
  <definedNames>
    <definedName name="_xlnm._FilterDatabase" localSheetId="1" hidden="1">Employees!$A$1:$M$501</definedName>
    <definedName name="_xlcn.WorksheetConnection_HR_Dataset.xlsxTable11" hidden="1">[1]!Table1</definedName>
    <definedName name="_xlcn.WorksheetConnection_HR_Dataset.xlsxTable21" hidden="1">[1]!Table2</definedName>
    <definedName name="_xlnm.Criteria" localSheetId="1">Employees!$Q$5:$R$6</definedName>
    <definedName name="_xlnm.Extract" localSheetId="1">Employees!$Q$8:$AC$8</definedName>
  </definedNames>
  <calcPr calcId="191029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Table2-76c871f8-99d7-475b-9cda-601e3f7aaa89" name="Table2" connection="WorksheetConnection_HR_Dataset.xlsx!Table2"/>
          <x15:modelTable id="Table1-b8f4fea9-9227-4795-b169-3aea1e1d8ec3" name="Table1" connection="WorksheetConnection_HR_Dataset.xlsx!Table1"/>
        </x15:modelTables>
        <x15:modelRelationships>
          <x15:modelRelationship fromTable="Table1" fromColumn="DepartmentID" toTable="Table2" toColumn="Department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7" l="1"/>
  <c r="O4" i="7"/>
  <c r="O5" i="7"/>
  <c r="O6" i="7"/>
  <c r="O7" i="7"/>
  <c r="O8" i="7"/>
  <c r="O9" i="7"/>
  <c r="O10" i="7"/>
  <c r="O11" i="7"/>
  <c r="O12" i="7"/>
  <c r="O13" i="7"/>
  <c r="O14" i="7"/>
  <c r="O15" i="7"/>
  <c r="O16" i="7"/>
  <c r="O17" i="7"/>
  <c r="O18" i="7"/>
  <c r="O19" i="7"/>
  <c r="O20" i="7"/>
  <c r="O21" i="7"/>
  <c r="O22" i="7"/>
  <c r="O23" i="7"/>
  <c r="O24" i="7"/>
  <c r="O25" i="7"/>
  <c r="O26" i="7"/>
  <c r="O27" i="7"/>
  <c r="O28" i="7"/>
  <c r="O29" i="7"/>
  <c r="O30" i="7"/>
  <c r="O31" i="7"/>
  <c r="O32" i="7"/>
  <c r="O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66" i="7"/>
  <c r="O67" i="7"/>
  <c r="O68" i="7"/>
  <c r="O69" i="7"/>
  <c r="O70" i="7"/>
  <c r="O71" i="7"/>
  <c r="O72" i="7"/>
  <c r="O73" i="7"/>
  <c r="O74" i="7"/>
  <c r="O75" i="7"/>
  <c r="O76" i="7"/>
  <c r="O77" i="7"/>
  <c r="O78" i="7"/>
  <c r="O79" i="7"/>
  <c r="O80" i="7"/>
  <c r="O81" i="7"/>
  <c r="O82" i="7"/>
  <c r="O83" i="7"/>
  <c r="O84" i="7"/>
  <c r="O85" i="7"/>
  <c r="O86" i="7"/>
  <c r="O87" i="7"/>
  <c r="O88" i="7"/>
  <c r="O89" i="7"/>
  <c r="O90" i="7"/>
  <c r="O91" i="7"/>
  <c r="O92" i="7"/>
  <c r="O93" i="7"/>
  <c r="O94" i="7"/>
  <c r="O95" i="7"/>
  <c r="O96" i="7"/>
  <c r="O97" i="7"/>
  <c r="O98" i="7"/>
  <c r="O99" i="7"/>
  <c r="O100" i="7"/>
  <c r="O101" i="7"/>
  <c r="O102" i="7"/>
  <c r="O103" i="7"/>
  <c r="O104" i="7"/>
  <c r="O105" i="7"/>
  <c r="O106" i="7"/>
  <c r="O107" i="7"/>
  <c r="O108" i="7"/>
  <c r="O109" i="7"/>
  <c r="O110" i="7"/>
  <c r="O111" i="7"/>
  <c r="O112" i="7"/>
  <c r="O113" i="7"/>
  <c r="O114" i="7"/>
  <c r="O115" i="7"/>
  <c r="O116" i="7"/>
  <c r="O117" i="7"/>
  <c r="O118" i="7"/>
  <c r="O119" i="7"/>
  <c r="O120" i="7"/>
  <c r="O121" i="7"/>
  <c r="O122" i="7"/>
  <c r="O123" i="7"/>
  <c r="O124" i="7"/>
  <c r="O125" i="7"/>
  <c r="O126" i="7"/>
  <c r="O127" i="7"/>
  <c r="O128" i="7"/>
  <c r="O129" i="7"/>
  <c r="O130" i="7"/>
  <c r="O131" i="7"/>
  <c r="O132" i="7"/>
  <c r="O133" i="7"/>
  <c r="O134" i="7"/>
  <c r="O135" i="7"/>
  <c r="O136" i="7"/>
  <c r="O137" i="7"/>
  <c r="O138" i="7"/>
  <c r="O139" i="7"/>
  <c r="O140" i="7"/>
  <c r="O141" i="7"/>
  <c r="O142" i="7"/>
  <c r="O143" i="7"/>
  <c r="O144" i="7"/>
  <c r="O145" i="7"/>
  <c r="O146" i="7"/>
  <c r="O147" i="7"/>
  <c r="O148" i="7"/>
  <c r="O149" i="7"/>
  <c r="O150" i="7"/>
  <c r="O151" i="7"/>
  <c r="O152" i="7"/>
  <c r="O153" i="7"/>
  <c r="O154" i="7"/>
  <c r="O155" i="7"/>
  <c r="O156" i="7"/>
  <c r="O157" i="7"/>
  <c r="O158" i="7"/>
  <c r="O159" i="7"/>
  <c r="O160" i="7"/>
  <c r="O161" i="7"/>
  <c r="O162" i="7"/>
  <c r="O163" i="7"/>
  <c r="O164" i="7"/>
  <c r="O165" i="7"/>
  <c r="O166" i="7"/>
  <c r="O167" i="7"/>
  <c r="O168" i="7"/>
  <c r="O169" i="7"/>
  <c r="O170" i="7"/>
  <c r="O171" i="7"/>
  <c r="O172" i="7"/>
  <c r="O173" i="7"/>
  <c r="O174" i="7"/>
  <c r="O175" i="7"/>
  <c r="O176" i="7"/>
  <c r="O177" i="7"/>
  <c r="O178" i="7"/>
  <c r="O179" i="7"/>
  <c r="O180" i="7"/>
  <c r="O181" i="7"/>
  <c r="O182" i="7"/>
  <c r="O183" i="7"/>
  <c r="O184" i="7"/>
  <c r="O185" i="7"/>
  <c r="O186" i="7"/>
  <c r="O187" i="7"/>
  <c r="O188" i="7"/>
  <c r="O189" i="7"/>
  <c r="O190" i="7"/>
  <c r="O191" i="7"/>
  <c r="O192" i="7"/>
  <c r="O193" i="7"/>
  <c r="O194" i="7"/>
  <c r="O195" i="7"/>
  <c r="O196" i="7"/>
  <c r="O197" i="7"/>
  <c r="O198" i="7"/>
  <c r="O199" i="7"/>
  <c r="O200" i="7"/>
  <c r="O201" i="7"/>
  <c r="O202" i="7"/>
  <c r="O203" i="7"/>
  <c r="O204" i="7"/>
  <c r="O205" i="7"/>
  <c r="O206" i="7"/>
  <c r="O207" i="7"/>
  <c r="O208" i="7"/>
  <c r="O209" i="7"/>
  <c r="O210" i="7"/>
  <c r="O211" i="7"/>
  <c r="O212" i="7"/>
  <c r="O213" i="7"/>
  <c r="O214" i="7"/>
  <c r="O215" i="7"/>
  <c r="O216" i="7"/>
  <c r="O217" i="7"/>
  <c r="O218" i="7"/>
  <c r="O219" i="7"/>
  <c r="O220" i="7"/>
  <c r="O221" i="7"/>
  <c r="O222" i="7"/>
  <c r="O223" i="7"/>
  <c r="O224" i="7"/>
  <c r="O225" i="7"/>
  <c r="O226" i="7"/>
  <c r="O227" i="7"/>
  <c r="O228" i="7"/>
  <c r="O229" i="7"/>
  <c r="O230" i="7"/>
  <c r="O231" i="7"/>
  <c r="O232" i="7"/>
  <c r="O233" i="7"/>
  <c r="O234" i="7"/>
  <c r="O235" i="7"/>
  <c r="O236" i="7"/>
  <c r="O237" i="7"/>
  <c r="O238" i="7"/>
  <c r="O239" i="7"/>
  <c r="O240" i="7"/>
  <c r="O241" i="7"/>
  <c r="O242" i="7"/>
  <c r="O243" i="7"/>
  <c r="O244" i="7"/>
  <c r="O245" i="7"/>
  <c r="O246" i="7"/>
  <c r="O247" i="7"/>
  <c r="O248" i="7"/>
  <c r="O249" i="7"/>
  <c r="O250" i="7"/>
  <c r="O251" i="7"/>
  <c r="O252" i="7"/>
  <c r="O253" i="7"/>
  <c r="O254" i="7"/>
  <c r="O255" i="7"/>
  <c r="O256" i="7"/>
  <c r="O257" i="7"/>
  <c r="O258" i="7"/>
  <c r="O259" i="7"/>
  <c r="O260" i="7"/>
  <c r="O261" i="7"/>
  <c r="O262" i="7"/>
  <c r="O263" i="7"/>
  <c r="O264" i="7"/>
  <c r="O265" i="7"/>
  <c r="O266" i="7"/>
  <c r="O267" i="7"/>
  <c r="O268" i="7"/>
  <c r="O269" i="7"/>
  <c r="O270" i="7"/>
  <c r="O271" i="7"/>
  <c r="O272" i="7"/>
  <c r="O273" i="7"/>
  <c r="O274" i="7"/>
  <c r="O275" i="7"/>
  <c r="O276" i="7"/>
  <c r="O277" i="7"/>
  <c r="O278" i="7"/>
  <c r="O279" i="7"/>
  <c r="O280" i="7"/>
  <c r="O281" i="7"/>
  <c r="O282" i="7"/>
  <c r="O283" i="7"/>
  <c r="O284" i="7"/>
  <c r="O285" i="7"/>
  <c r="O286" i="7"/>
  <c r="O287" i="7"/>
  <c r="O288" i="7"/>
  <c r="O289" i="7"/>
  <c r="O290" i="7"/>
  <c r="O291" i="7"/>
  <c r="O292" i="7"/>
  <c r="O293" i="7"/>
  <c r="O294" i="7"/>
  <c r="O295" i="7"/>
  <c r="O296" i="7"/>
  <c r="O297" i="7"/>
  <c r="O298" i="7"/>
  <c r="O299" i="7"/>
  <c r="O300" i="7"/>
  <c r="O301" i="7"/>
  <c r="O302" i="7"/>
  <c r="O303" i="7"/>
  <c r="O304" i="7"/>
  <c r="O305" i="7"/>
  <c r="O306" i="7"/>
  <c r="O307" i="7"/>
  <c r="O308" i="7"/>
  <c r="O309" i="7"/>
  <c r="O310" i="7"/>
  <c r="O311" i="7"/>
  <c r="O312" i="7"/>
  <c r="O313" i="7"/>
  <c r="O314" i="7"/>
  <c r="O315" i="7"/>
  <c r="O316" i="7"/>
  <c r="O317" i="7"/>
  <c r="O318" i="7"/>
  <c r="O319" i="7"/>
  <c r="O320" i="7"/>
  <c r="O321" i="7"/>
  <c r="O322" i="7"/>
  <c r="O323" i="7"/>
  <c r="O324" i="7"/>
  <c r="O325" i="7"/>
  <c r="O326" i="7"/>
  <c r="O327" i="7"/>
  <c r="O328" i="7"/>
  <c r="O329" i="7"/>
  <c r="O330" i="7"/>
  <c r="O331" i="7"/>
  <c r="O332" i="7"/>
  <c r="O333" i="7"/>
  <c r="O334" i="7"/>
  <c r="O335" i="7"/>
  <c r="O336" i="7"/>
  <c r="O337" i="7"/>
  <c r="O338" i="7"/>
  <c r="O339" i="7"/>
  <c r="O340" i="7"/>
  <c r="O341" i="7"/>
  <c r="O342" i="7"/>
  <c r="O343" i="7"/>
  <c r="O344" i="7"/>
  <c r="O345" i="7"/>
  <c r="O346" i="7"/>
  <c r="O347" i="7"/>
  <c r="O348" i="7"/>
  <c r="O349" i="7"/>
  <c r="O350" i="7"/>
  <c r="O351" i="7"/>
  <c r="O352" i="7"/>
  <c r="O353" i="7"/>
  <c r="O354" i="7"/>
  <c r="O355" i="7"/>
  <c r="O356" i="7"/>
  <c r="O357" i="7"/>
  <c r="O358" i="7"/>
  <c r="O359" i="7"/>
  <c r="O360" i="7"/>
  <c r="O361" i="7"/>
  <c r="O362" i="7"/>
  <c r="O363" i="7"/>
  <c r="O364" i="7"/>
  <c r="O365" i="7"/>
  <c r="O366" i="7"/>
  <c r="O367" i="7"/>
  <c r="O368" i="7"/>
  <c r="O369" i="7"/>
  <c r="O370" i="7"/>
  <c r="O371" i="7"/>
  <c r="O372" i="7"/>
  <c r="O373" i="7"/>
  <c r="O374" i="7"/>
  <c r="O375" i="7"/>
  <c r="O376" i="7"/>
  <c r="O377" i="7"/>
  <c r="O378" i="7"/>
  <c r="O379" i="7"/>
  <c r="O380" i="7"/>
  <c r="O381" i="7"/>
  <c r="O382" i="7"/>
  <c r="O383" i="7"/>
  <c r="O384" i="7"/>
  <c r="O385" i="7"/>
  <c r="O386" i="7"/>
  <c r="O387" i="7"/>
  <c r="O388" i="7"/>
  <c r="O389" i="7"/>
  <c r="O390" i="7"/>
  <c r="O391" i="7"/>
  <c r="O392" i="7"/>
  <c r="O393" i="7"/>
  <c r="O394" i="7"/>
  <c r="O395" i="7"/>
  <c r="O396" i="7"/>
  <c r="O397" i="7"/>
  <c r="O398" i="7"/>
  <c r="O399" i="7"/>
  <c r="O400" i="7"/>
  <c r="O401" i="7"/>
  <c r="O402" i="7"/>
  <c r="O403" i="7"/>
  <c r="O404" i="7"/>
  <c r="O405" i="7"/>
  <c r="O406" i="7"/>
  <c r="O407" i="7"/>
  <c r="O408" i="7"/>
  <c r="O409" i="7"/>
  <c r="O410" i="7"/>
  <c r="O411" i="7"/>
  <c r="O412" i="7"/>
  <c r="O413" i="7"/>
  <c r="O414" i="7"/>
  <c r="O415" i="7"/>
  <c r="O416" i="7"/>
  <c r="O417" i="7"/>
  <c r="O418" i="7"/>
  <c r="O419" i="7"/>
  <c r="O420" i="7"/>
  <c r="O421" i="7"/>
  <c r="O422" i="7"/>
  <c r="O423" i="7"/>
  <c r="O424" i="7"/>
  <c r="O425" i="7"/>
  <c r="O426" i="7"/>
  <c r="O427" i="7"/>
  <c r="O428" i="7"/>
  <c r="O429" i="7"/>
  <c r="O430" i="7"/>
  <c r="O431" i="7"/>
  <c r="O432" i="7"/>
  <c r="O433" i="7"/>
  <c r="O434" i="7"/>
  <c r="O435" i="7"/>
  <c r="O436" i="7"/>
  <c r="O437" i="7"/>
  <c r="O438" i="7"/>
  <c r="O439" i="7"/>
  <c r="O440" i="7"/>
  <c r="O441" i="7"/>
  <c r="O442" i="7"/>
  <c r="O443" i="7"/>
  <c r="O444" i="7"/>
  <c r="O445" i="7"/>
  <c r="O446" i="7"/>
  <c r="O447" i="7"/>
  <c r="O448" i="7"/>
  <c r="O449" i="7"/>
  <c r="O450" i="7"/>
  <c r="O451" i="7"/>
  <c r="O452" i="7"/>
  <c r="O453" i="7"/>
  <c r="O454" i="7"/>
  <c r="O455" i="7"/>
  <c r="O456" i="7"/>
  <c r="O457" i="7"/>
  <c r="O458" i="7"/>
  <c r="O459" i="7"/>
  <c r="O460" i="7"/>
  <c r="O461" i="7"/>
  <c r="O462" i="7"/>
  <c r="O463" i="7"/>
  <c r="O464" i="7"/>
  <c r="O465" i="7"/>
  <c r="O466" i="7"/>
  <c r="O467" i="7"/>
  <c r="O468" i="7"/>
  <c r="O469" i="7"/>
  <c r="O470" i="7"/>
  <c r="O471" i="7"/>
  <c r="O472" i="7"/>
  <c r="O473" i="7"/>
  <c r="O474" i="7"/>
  <c r="O475" i="7"/>
  <c r="O476" i="7"/>
  <c r="O477" i="7"/>
  <c r="O478" i="7"/>
  <c r="O479" i="7"/>
  <c r="O480" i="7"/>
  <c r="O481" i="7"/>
  <c r="O482" i="7"/>
  <c r="O483" i="7"/>
  <c r="O484" i="7"/>
  <c r="O485" i="7"/>
  <c r="O486" i="7"/>
  <c r="O487" i="7"/>
  <c r="O488" i="7"/>
  <c r="O489" i="7"/>
  <c r="O490" i="7"/>
  <c r="O491" i="7"/>
  <c r="O492" i="7"/>
  <c r="O493" i="7"/>
  <c r="O494" i="7"/>
  <c r="O495" i="7"/>
  <c r="O496" i="7"/>
  <c r="O497" i="7"/>
  <c r="O498" i="7"/>
  <c r="O499" i="7"/>
  <c r="O500" i="7"/>
  <c r="O501" i="7"/>
  <c r="O2" i="7"/>
  <c r="N3" i="7"/>
  <c r="N4" i="7"/>
  <c r="N5" i="7"/>
  <c r="N6" i="7"/>
  <c r="N7" i="7"/>
  <c r="N8" i="7"/>
  <c r="N9" i="7"/>
  <c r="N10" i="7"/>
  <c r="N11" i="7"/>
  <c r="N12" i="7"/>
  <c r="N13" i="7"/>
  <c r="N14" i="7"/>
  <c r="N15" i="7"/>
  <c r="N16" i="7"/>
  <c r="N17" i="7"/>
  <c r="N18" i="7"/>
  <c r="N19" i="7"/>
  <c r="N20" i="7"/>
  <c r="N21" i="7"/>
  <c r="N22" i="7"/>
  <c r="N23" i="7"/>
  <c r="N24" i="7"/>
  <c r="N25" i="7"/>
  <c r="N26" i="7"/>
  <c r="N27" i="7"/>
  <c r="N28" i="7"/>
  <c r="N29" i="7"/>
  <c r="N30" i="7"/>
  <c r="N31" i="7"/>
  <c r="N32" i="7"/>
  <c r="N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66" i="7"/>
  <c r="N67" i="7"/>
  <c r="N68" i="7"/>
  <c r="N69" i="7"/>
  <c r="N70" i="7"/>
  <c r="N71" i="7"/>
  <c r="N72" i="7"/>
  <c r="N73" i="7"/>
  <c r="N74" i="7"/>
  <c r="N75" i="7"/>
  <c r="N76" i="7"/>
  <c r="N77" i="7"/>
  <c r="N78" i="7"/>
  <c r="N79" i="7"/>
  <c r="N80" i="7"/>
  <c r="N81" i="7"/>
  <c r="N82" i="7"/>
  <c r="N83" i="7"/>
  <c r="N84" i="7"/>
  <c r="N85" i="7"/>
  <c r="N86" i="7"/>
  <c r="N87" i="7"/>
  <c r="N88" i="7"/>
  <c r="N89" i="7"/>
  <c r="N90" i="7"/>
  <c r="N91" i="7"/>
  <c r="N92" i="7"/>
  <c r="N93" i="7"/>
  <c r="N94" i="7"/>
  <c r="N95" i="7"/>
  <c r="N96" i="7"/>
  <c r="N97" i="7"/>
  <c r="N98" i="7"/>
  <c r="N99" i="7"/>
  <c r="N100" i="7"/>
  <c r="N101" i="7"/>
  <c r="N102" i="7"/>
  <c r="N103" i="7"/>
  <c r="N104" i="7"/>
  <c r="N105" i="7"/>
  <c r="N106" i="7"/>
  <c r="N107" i="7"/>
  <c r="N108" i="7"/>
  <c r="N109" i="7"/>
  <c r="N110" i="7"/>
  <c r="N111" i="7"/>
  <c r="N112" i="7"/>
  <c r="N113" i="7"/>
  <c r="N114" i="7"/>
  <c r="N115" i="7"/>
  <c r="N116" i="7"/>
  <c r="N117" i="7"/>
  <c r="N118" i="7"/>
  <c r="N119" i="7"/>
  <c r="N120" i="7"/>
  <c r="N121" i="7"/>
  <c r="N122" i="7"/>
  <c r="N123" i="7"/>
  <c r="N124" i="7"/>
  <c r="N125" i="7"/>
  <c r="N126" i="7"/>
  <c r="N127" i="7"/>
  <c r="N128" i="7"/>
  <c r="N129" i="7"/>
  <c r="N130" i="7"/>
  <c r="N131" i="7"/>
  <c r="N132" i="7"/>
  <c r="N133" i="7"/>
  <c r="N134" i="7"/>
  <c r="N135" i="7"/>
  <c r="N136" i="7"/>
  <c r="N137" i="7"/>
  <c r="N138" i="7"/>
  <c r="N139" i="7"/>
  <c r="N140" i="7"/>
  <c r="N141" i="7"/>
  <c r="N142" i="7"/>
  <c r="N143" i="7"/>
  <c r="N144" i="7"/>
  <c r="N145" i="7"/>
  <c r="N146" i="7"/>
  <c r="N147" i="7"/>
  <c r="N148" i="7"/>
  <c r="N149" i="7"/>
  <c r="N150" i="7"/>
  <c r="N151" i="7"/>
  <c r="N152" i="7"/>
  <c r="N153" i="7"/>
  <c r="N154" i="7"/>
  <c r="N155" i="7"/>
  <c r="N156" i="7"/>
  <c r="N157" i="7"/>
  <c r="N158" i="7"/>
  <c r="N159" i="7"/>
  <c r="N160" i="7"/>
  <c r="N161" i="7"/>
  <c r="N162" i="7"/>
  <c r="N163" i="7"/>
  <c r="N164" i="7"/>
  <c r="N165" i="7"/>
  <c r="N166" i="7"/>
  <c r="N167" i="7"/>
  <c r="N168" i="7"/>
  <c r="N169" i="7"/>
  <c r="N170" i="7"/>
  <c r="N171" i="7"/>
  <c r="N172" i="7"/>
  <c r="N173" i="7"/>
  <c r="N174" i="7"/>
  <c r="N175" i="7"/>
  <c r="N176" i="7"/>
  <c r="N177" i="7"/>
  <c r="N178" i="7"/>
  <c r="N179" i="7"/>
  <c r="N180" i="7"/>
  <c r="N181" i="7"/>
  <c r="N182" i="7"/>
  <c r="N183" i="7"/>
  <c r="N184" i="7"/>
  <c r="N185" i="7"/>
  <c r="N186" i="7"/>
  <c r="N187" i="7"/>
  <c r="N188" i="7"/>
  <c r="N189" i="7"/>
  <c r="N190" i="7"/>
  <c r="N191" i="7"/>
  <c r="N192" i="7"/>
  <c r="N193" i="7"/>
  <c r="N194" i="7"/>
  <c r="N195" i="7"/>
  <c r="N196" i="7"/>
  <c r="N197" i="7"/>
  <c r="N198" i="7"/>
  <c r="N199" i="7"/>
  <c r="N200" i="7"/>
  <c r="N201" i="7"/>
  <c r="N202" i="7"/>
  <c r="N203" i="7"/>
  <c r="N204" i="7"/>
  <c r="N205" i="7"/>
  <c r="N206" i="7"/>
  <c r="N207" i="7"/>
  <c r="N208" i="7"/>
  <c r="N209" i="7"/>
  <c r="N210" i="7"/>
  <c r="N211" i="7"/>
  <c r="N212" i="7"/>
  <c r="N213" i="7"/>
  <c r="N214" i="7"/>
  <c r="N215" i="7"/>
  <c r="N216" i="7"/>
  <c r="N217" i="7"/>
  <c r="N218" i="7"/>
  <c r="N219" i="7"/>
  <c r="N220" i="7"/>
  <c r="N221" i="7"/>
  <c r="N222" i="7"/>
  <c r="N223" i="7"/>
  <c r="N224" i="7"/>
  <c r="N225" i="7"/>
  <c r="N226" i="7"/>
  <c r="N227" i="7"/>
  <c r="N228" i="7"/>
  <c r="N229" i="7"/>
  <c r="N230" i="7"/>
  <c r="N231" i="7"/>
  <c r="N232" i="7"/>
  <c r="N233" i="7"/>
  <c r="N234" i="7"/>
  <c r="N235" i="7"/>
  <c r="N236" i="7"/>
  <c r="N237" i="7"/>
  <c r="N238" i="7"/>
  <c r="N239" i="7"/>
  <c r="N240" i="7"/>
  <c r="N241" i="7"/>
  <c r="N242" i="7"/>
  <c r="N243" i="7"/>
  <c r="N244" i="7"/>
  <c r="N245" i="7"/>
  <c r="N246" i="7"/>
  <c r="N247" i="7"/>
  <c r="N248" i="7"/>
  <c r="N249" i="7"/>
  <c r="N250" i="7"/>
  <c r="N251" i="7"/>
  <c r="N252" i="7"/>
  <c r="N253" i="7"/>
  <c r="N254" i="7"/>
  <c r="N255" i="7"/>
  <c r="N256" i="7"/>
  <c r="N257" i="7"/>
  <c r="N258" i="7"/>
  <c r="N259" i="7"/>
  <c r="N260" i="7"/>
  <c r="N261" i="7"/>
  <c r="N262" i="7"/>
  <c r="N263" i="7"/>
  <c r="N264" i="7"/>
  <c r="N265" i="7"/>
  <c r="N266" i="7"/>
  <c r="N267" i="7"/>
  <c r="N268" i="7"/>
  <c r="N269" i="7"/>
  <c r="N270" i="7"/>
  <c r="N271" i="7"/>
  <c r="N272" i="7"/>
  <c r="N273" i="7"/>
  <c r="N274" i="7"/>
  <c r="N275" i="7"/>
  <c r="N276" i="7"/>
  <c r="N277" i="7"/>
  <c r="N278" i="7"/>
  <c r="N279" i="7"/>
  <c r="N280" i="7"/>
  <c r="N281" i="7"/>
  <c r="N282" i="7"/>
  <c r="N283" i="7"/>
  <c r="N284" i="7"/>
  <c r="N285" i="7"/>
  <c r="N286" i="7"/>
  <c r="N287" i="7"/>
  <c r="N288" i="7"/>
  <c r="N289" i="7"/>
  <c r="N290" i="7"/>
  <c r="N291" i="7"/>
  <c r="N292" i="7"/>
  <c r="N293" i="7"/>
  <c r="N294" i="7"/>
  <c r="N295" i="7"/>
  <c r="N296" i="7"/>
  <c r="N297" i="7"/>
  <c r="N298" i="7"/>
  <c r="N299" i="7"/>
  <c r="N300" i="7"/>
  <c r="N301" i="7"/>
  <c r="N302" i="7"/>
  <c r="N303" i="7"/>
  <c r="N304" i="7"/>
  <c r="N305" i="7"/>
  <c r="N306" i="7"/>
  <c r="N307" i="7"/>
  <c r="N308" i="7"/>
  <c r="N309" i="7"/>
  <c r="N310" i="7"/>
  <c r="N311" i="7"/>
  <c r="N312" i="7"/>
  <c r="N313" i="7"/>
  <c r="N314" i="7"/>
  <c r="N315" i="7"/>
  <c r="N316" i="7"/>
  <c r="N317" i="7"/>
  <c r="N318" i="7"/>
  <c r="N319" i="7"/>
  <c r="N320" i="7"/>
  <c r="N321" i="7"/>
  <c r="N322" i="7"/>
  <c r="N323" i="7"/>
  <c r="N324" i="7"/>
  <c r="N325" i="7"/>
  <c r="N326" i="7"/>
  <c r="N327" i="7"/>
  <c r="N328" i="7"/>
  <c r="N329" i="7"/>
  <c r="N330" i="7"/>
  <c r="N331" i="7"/>
  <c r="N332" i="7"/>
  <c r="N333" i="7"/>
  <c r="N334" i="7"/>
  <c r="N335" i="7"/>
  <c r="N336" i="7"/>
  <c r="N337" i="7"/>
  <c r="N338" i="7"/>
  <c r="N339" i="7"/>
  <c r="N340" i="7"/>
  <c r="N341" i="7"/>
  <c r="N342" i="7"/>
  <c r="N343" i="7"/>
  <c r="N344" i="7"/>
  <c r="N345" i="7"/>
  <c r="N346" i="7"/>
  <c r="N347" i="7"/>
  <c r="N348" i="7"/>
  <c r="N349" i="7"/>
  <c r="N350" i="7"/>
  <c r="N351" i="7"/>
  <c r="N352" i="7"/>
  <c r="N353" i="7"/>
  <c r="N354" i="7"/>
  <c r="N355" i="7"/>
  <c r="N356" i="7"/>
  <c r="N357" i="7"/>
  <c r="N358" i="7"/>
  <c r="N359" i="7"/>
  <c r="N360" i="7"/>
  <c r="N361" i="7"/>
  <c r="N362" i="7"/>
  <c r="N363" i="7"/>
  <c r="N364" i="7"/>
  <c r="N365" i="7"/>
  <c r="N366" i="7"/>
  <c r="N367" i="7"/>
  <c r="N368" i="7"/>
  <c r="N369" i="7"/>
  <c r="N370" i="7"/>
  <c r="N371" i="7"/>
  <c r="N372" i="7"/>
  <c r="N373" i="7"/>
  <c r="N374" i="7"/>
  <c r="N375" i="7"/>
  <c r="N376" i="7"/>
  <c r="N377" i="7"/>
  <c r="N378" i="7"/>
  <c r="N379" i="7"/>
  <c r="N380" i="7"/>
  <c r="N381" i="7"/>
  <c r="N382" i="7"/>
  <c r="N383" i="7"/>
  <c r="N384" i="7"/>
  <c r="N385" i="7"/>
  <c r="N386" i="7"/>
  <c r="N387" i="7"/>
  <c r="N388" i="7"/>
  <c r="N389" i="7"/>
  <c r="N390" i="7"/>
  <c r="N391" i="7"/>
  <c r="N392" i="7"/>
  <c r="N393" i="7"/>
  <c r="N394" i="7"/>
  <c r="N395" i="7"/>
  <c r="N396" i="7"/>
  <c r="N397" i="7"/>
  <c r="N398" i="7"/>
  <c r="N399" i="7"/>
  <c r="N400" i="7"/>
  <c r="N401" i="7"/>
  <c r="N402" i="7"/>
  <c r="N403" i="7"/>
  <c r="N404" i="7"/>
  <c r="N405" i="7"/>
  <c r="N406" i="7"/>
  <c r="N407" i="7"/>
  <c r="N408" i="7"/>
  <c r="N409" i="7"/>
  <c r="N410" i="7"/>
  <c r="N411" i="7"/>
  <c r="N412" i="7"/>
  <c r="N413" i="7"/>
  <c r="N414" i="7"/>
  <c r="N415" i="7"/>
  <c r="N416" i="7"/>
  <c r="N417" i="7"/>
  <c r="N418" i="7"/>
  <c r="N419" i="7"/>
  <c r="N420" i="7"/>
  <c r="N421" i="7"/>
  <c r="N422" i="7"/>
  <c r="N423" i="7"/>
  <c r="N424" i="7"/>
  <c r="N425" i="7"/>
  <c r="N426" i="7"/>
  <c r="N427" i="7"/>
  <c r="N428" i="7"/>
  <c r="N429" i="7"/>
  <c r="N430" i="7"/>
  <c r="N431" i="7"/>
  <c r="N432" i="7"/>
  <c r="N433" i="7"/>
  <c r="N434" i="7"/>
  <c r="N435" i="7"/>
  <c r="N436" i="7"/>
  <c r="N437" i="7"/>
  <c r="N438" i="7"/>
  <c r="N439" i="7"/>
  <c r="N440" i="7"/>
  <c r="N441" i="7"/>
  <c r="N442" i="7"/>
  <c r="N443" i="7"/>
  <c r="N444" i="7"/>
  <c r="N445" i="7"/>
  <c r="N446" i="7"/>
  <c r="N447" i="7"/>
  <c r="N448" i="7"/>
  <c r="N449" i="7"/>
  <c r="N450" i="7"/>
  <c r="N451" i="7"/>
  <c r="N452" i="7"/>
  <c r="N453" i="7"/>
  <c r="N454" i="7"/>
  <c r="N455" i="7"/>
  <c r="N456" i="7"/>
  <c r="N457" i="7"/>
  <c r="N458" i="7"/>
  <c r="N459" i="7"/>
  <c r="N460" i="7"/>
  <c r="N461" i="7"/>
  <c r="N462" i="7"/>
  <c r="N463" i="7"/>
  <c r="N464" i="7"/>
  <c r="N465" i="7"/>
  <c r="N466" i="7"/>
  <c r="N467" i="7"/>
  <c r="N468" i="7"/>
  <c r="N469" i="7"/>
  <c r="N470" i="7"/>
  <c r="N471" i="7"/>
  <c r="N472" i="7"/>
  <c r="N473" i="7"/>
  <c r="N474" i="7"/>
  <c r="N475" i="7"/>
  <c r="N476" i="7"/>
  <c r="N477" i="7"/>
  <c r="N478" i="7"/>
  <c r="N479" i="7"/>
  <c r="N480" i="7"/>
  <c r="N481" i="7"/>
  <c r="N482" i="7"/>
  <c r="N483" i="7"/>
  <c r="N484" i="7"/>
  <c r="N485" i="7"/>
  <c r="N486" i="7"/>
  <c r="N487" i="7"/>
  <c r="N488" i="7"/>
  <c r="N489" i="7"/>
  <c r="N490" i="7"/>
  <c r="N491" i="7"/>
  <c r="N492" i="7"/>
  <c r="N493" i="7"/>
  <c r="N494" i="7"/>
  <c r="N495" i="7"/>
  <c r="N496" i="7"/>
  <c r="N497" i="7"/>
  <c r="N498" i="7"/>
  <c r="N499" i="7"/>
  <c r="N500" i="7"/>
  <c r="N501" i="7"/>
  <c r="N2" i="7"/>
  <c r="T2" i="7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2" i="7"/>
  <c r="O19" i="1"/>
  <c r="O6" i="1" a="1"/>
  <c r="O6" i="1" s="1"/>
  <c r="P16" i="1"/>
  <c r="O16" i="1"/>
  <c r="O12" i="1"/>
  <c r="P9" i="1" a="1"/>
  <c r="P9" i="1" s="1"/>
  <c r="O3" i="1" a="1"/>
  <c r="O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1DFCDF3-124E-4C89-A3FE-98FBC9B51EFF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0DE0B11-AD41-4A24-93A2-4001730B6217}" name="WorksheetConnection_HR_Dataset.xlsx!Table1" type="102" refreshedVersion="8" minRefreshableVersion="5">
    <extLst>
      <ext xmlns:x15="http://schemas.microsoft.com/office/spreadsheetml/2010/11/main" uri="{DE250136-89BD-433C-8126-D09CA5730AF9}">
        <x15:connection id="Table1-b8f4fea9-9227-4795-b169-3aea1e1d8ec3">
          <x15:rangePr sourceName="_xlcn.WorksheetConnection_HR_Dataset.xlsxTable11"/>
        </x15:connection>
      </ext>
    </extLst>
  </connection>
  <connection id="3" xr16:uid="{8600E9CF-3A27-44C9-B8ED-13693D26F998}" name="WorksheetConnection_HR_Dataset.xlsx!Table2" type="102" refreshedVersion="8" minRefreshableVersion="5">
    <extLst>
      <ext xmlns:x15="http://schemas.microsoft.com/office/spreadsheetml/2010/11/main" uri="{DE250136-89BD-433C-8126-D09CA5730AF9}">
        <x15:connection id="Table2-76c871f8-99d7-475b-9cda-601e3f7aaa89">
          <x15:rangePr sourceName="_xlcn.WorksheetConnection_HR_Dataset.xlsxTable2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<sst xmlns="http://schemas.openxmlformats.org/spreadsheetml/2006/main" count="8777" uniqueCount="1593">
  <si>
    <t>Order ID</t>
  </si>
  <si>
    <t>Customer ID</t>
  </si>
  <si>
    <t>City</t>
  </si>
  <si>
    <t>State</t>
  </si>
  <si>
    <t>Sales Channel</t>
  </si>
  <si>
    <t>Payment Method</t>
  </si>
  <si>
    <t>Product Category</t>
  </si>
  <si>
    <t>Brand</t>
  </si>
  <si>
    <t>Units Sold</t>
  </si>
  <si>
    <t>Unit Price</t>
  </si>
  <si>
    <t>Discount %</t>
  </si>
  <si>
    <t>Net Sales</t>
  </si>
  <si>
    <t>Chennai</t>
  </si>
  <si>
    <t>Delhi</t>
  </si>
  <si>
    <t>Mobile App</t>
  </si>
  <si>
    <t>Credit Card</t>
  </si>
  <si>
    <t>Home &amp; Kitchen</t>
  </si>
  <si>
    <t>BrandA</t>
  </si>
  <si>
    <t>Pune</t>
  </si>
  <si>
    <t>Tamil Nadu</t>
  </si>
  <si>
    <t>Website</t>
  </si>
  <si>
    <t>Debit Card</t>
  </si>
  <si>
    <t>Sports</t>
  </si>
  <si>
    <t>BrandD</t>
  </si>
  <si>
    <t>West Bengal</t>
  </si>
  <si>
    <t>Marketplace</t>
  </si>
  <si>
    <t>Fashion</t>
  </si>
  <si>
    <t>BrandE</t>
  </si>
  <si>
    <t>Bengaluru</t>
  </si>
  <si>
    <t>Cash on Delivery</t>
  </si>
  <si>
    <t>Kolkata</t>
  </si>
  <si>
    <t>Karnataka</t>
  </si>
  <si>
    <t>Hyderabad</t>
  </si>
  <si>
    <t>Telangana</t>
  </si>
  <si>
    <t>Net Banking</t>
  </si>
  <si>
    <t>UPI</t>
  </si>
  <si>
    <t>BrandC</t>
  </si>
  <si>
    <t>Mumbai</t>
  </si>
  <si>
    <t>BrandB</t>
  </si>
  <si>
    <t>Electronics</t>
  </si>
  <si>
    <t>Beauty</t>
  </si>
  <si>
    <t>Maharashtra</t>
  </si>
  <si>
    <t>Books</t>
  </si>
  <si>
    <t>Serial No</t>
  </si>
  <si>
    <t>Value</t>
  </si>
  <si>
    <t>Row</t>
  </si>
  <si>
    <t>cloumn</t>
  </si>
  <si>
    <t xml:space="preserve">value </t>
  </si>
  <si>
    <t>position</t>
  </si>
  <si>
    <t>D01</t>
  </si>
  <si>
    <t>D02</t>
  </si>
  <si>
    <t>D03</t>
  </si>
  <si>
    <t>D04</t>
  </si>
  <si>
    <t>D05</t>
  </si>
  <si>
    <t>E0001</t>
  </si>
  <si>
    <t>Amit</t>
  </si>
  <si>
    <t>Dutta</t>
  </si>
  <si>
    <t>Female</t>
  </si>
  <si>
    <t>Analyst</t>
  </si>
  <si>
    <t>2019-02-21</t>
  </si>
  <si>
    <t>amit.dutta1@example.com</t>
  </si>
  <si>
    <t>Active</t>
  </si>
  <si>
    <t>E0002</t>
  </si>
  <si>
    <t>Roy</t>
  </si>
  <si>
    <t>Male</t>
  </si>
  <si>
    <t>Executive</t>
  </si>
  <si>
    <t>2021-12-18</t>
  </si>
  <si>
    <t>amit.roy2@example.com</t>
  </si>
  <si>
    <t>E0003</t>
  </si>
  <si>
    <t>Rohit</t>
  </si>
  <si>
    <t>Coordinator</t>
  </si>
  <si>
    <t>2020-07-25</t>
  </si>
  <si>
    <t>rohit.roy3@example.com</t>
  </si>
  <si>
    <t>Inactive</t>
  </si>
  <si>
    <t>E0004</t>
  </si>
  <si>
    <t>David</t>
  </si>
  <si>
    <t>Manager</t>
  </si>
  <si>
    <t>2021-08-05</t>
  </si>
  <si>
    <t>david.dutta4@example.com</t>
  </si>
  <si>
    <t>E0005</t>
  </si>
  <si>
    <t>Jane</t>
  </si>
  <si>
    <t>Ghosh</t>
  </si>
  <si>
    <t>2020-06-08</t>
  </si>
  <si>
    <t>jane.ghosh5@example.com</t>
  </si>
  <si>
    <t>E0006</t>
  </si>
  <si>
    <t>Rahul</t>
  </si>
  <si>
    <t>2019-08-04</t>
  </si>
  <si>
    <t>rahul.dutta6@example.com</t>
  </si>
  <si>
    <t>E0007</t>
  </si>
  <si>
    <t>Sara</t>
  </si>
  <si>
    <t>2021-01-23</t>
  </si>
  <si>
    <t>sara.ghosh7@example.com</t>
  </si>
  <si>
    <t>E0008</t>
  </si>
  <si>
    <t>John</t>
  </si>
  <si>
    <t>2020-05-27</t>
  </si>
  <si>
    <t>john.dutta8@example.com</t>
  </si>
  <si>
    <t>E0009</t>
  </si>
  <si>
    <t>Singh</t>
  </si>
  <si>
    <t>2022-04-30</t>
  </si>
  <si>
    <t>john.singh9@example.com</t>
  </si>
  <si>
    <t>E0010</t>
  </si>
  <si>
    <t>2018-12-23</t>
  </si>
  <si>
    <t>amit.roy10@example.com</t>
  </si>
  <si>
    <t>E0011</t>
  </si>
  <si>
    <t>Anita</t>
  </si>
  <si>
    <t>2021-06-09</t>
  </si>
  <si>
    <t>anita.roy11@example.com</t>
  </si>
  <si>
    <t>E0012</t>
  </si>
  <si>
    <t>2019-02-24</t>
  </si>
  <si>
    <t>rohit.ghosh12@example.com</t>
  </si>
  <si>
    <t>E0013</t>
  </si>
  <si>
    <t>Khan</t>
  </si>
  <si>
    <t>2022-03-31</t>
  </si>
  <si>
    <t>rohit.khan13@example.com</t>
  </si>
  <si>
    <t>E0014</t>
  </si>
  <si>
    <t>Sen</t>
  </si>
  <si>
    <t>2022-09-23</t>
  </si>
  <si>
    <t>rohit.sen14@example.com</t>
  </si>
  <si>
    <t>E0015</t>
  </si>
  <si>
    <t>2018-07-03</t>
  </si>
  <si>
    <t>david.sen15@example.com</t>
  </si>
  <si>
    <t>E0016</t>
  </si>
  <si>
    <t>Paul</t>
  </si>
  <si>
    <t>2024-04-11</t>
  </si>
  <si>
    <t>sara.paul16@example.com</t>
  </si>
  <si>
    <t>E0017</t>
  </si>
  <si>
    <t>Priya</t>
  </si>
  <si>
    <t>Smith</t>
  </si>
  <si>
    <t>2019-04-23</t>
  </si>
  <si>
    <t>priya.smith17@example.com</t>
  </si>
  <si>
    <t>E0018</t>
  </si>
  <si>
    <t>2018-07-10</t>
  </si>
  <si>
    <t>john.roy18@example.com</t>
  </si>
  <si>
    <t>E0019</t>
  </si>
  <si>
    <t>2022-08-16</t>
  </si>
  <si>
    <t>rohit.khan19@example.com</t>
  </si>
  <si>
    <t>E0020</t>
  </si>
  <si>
    <t>2018-03-22</t>
  </si>
  <si>
    <t>priya.dutta20@example.com</t>
  </si>
  <si>
    <t>E0021</t>
  </si>
  <si>
    <t>Specialist</t>
  </si>
  <si>
    <t>2021-09-22</t>
  </si>
  <si>
    <t>priya.sen21@example.com</t>
  </si>
  <si>
    <t>E0022</t>
  </si>
  <si>
    <t>2022-11-19</t>
  </si>
  <si>
    <t>amit.dutta22@example.com</t>
  </si>
  <si>
    <t>E0023</t>
  </si>
  <si>
    <t>2021-12-22</t>
  </si>
  <si>
    <t>anita.singh23@example.com</t>
  </si>
  <si>
    <t>E0024</t>
  </si>
  <si>
    <t>2019-06-08</t>
  </si>
  <si>
    <t>jane.singh24@example.com</t>
  </si>
  <si>
    <t>E0025</t>
  </si>
  <si>
    <t>2021-12-07</t>
  </si>
  <si>
    <t>anita.sen25@example.com</t>
  </si>
  <si>
    <t>E0026</t>
  </si>
  <si>
    <t>2023-06-24</t>
  </si>
  <si>
    <t>john.dutta26@example.com</t>
  </si>
  <si>
    <t>E0027</t>
  </si>
  <si>
    <t>2020-10-09</t>
  </si>
  <si>
    <t>amit.sen27@example.com</t>
  </si>
  <si>
    <t>E0028</t>
  </si>
  <si>
    <t>Das</t>
  </si>
  <si>
    <t>2021-06-08</t>
  </si>
  <si>
    <t>jane.das28@example.com</t>
  </si>
  <si>
    <t>E0029</t>
  </si>
  <si>
    <t>2022-02-08</t>
  </si>
  <si>
    <t>sara.khan29@example.com</t>
  </si>
  <si>
    <t>E0030</t>
  </si>
  <si>
    <t>2021-05-20</t>
  </si>
  <si>
    <t>david.dutta30@example.com</t>
  </si>
  <si>
    <t>E0031</t>
  </si>
  <si>
    <t>2019-08-08</t>
  </si>
  <si>
    <t>amit.ghosh31@example.com</t>
  </si>
  <si>
    <t>E0032</t>
  </si>
  <si>
    <t>Neha</t>
  </si>
  <si>
    <t>2019-11-15</t>
  </si>
  <si>
    <t>neha.smith32@example.com</t>
  </si>
  <si>
    <t>E0033</t>
  </si>
  <si>
    <t>2019-06-18</t>
  </si>
  <si>
    <t>neha.singh33@example.com</t>
  </si>
  <si>
    <t>E0034</t>
  </si>
  <si>
    <t>2024-03-15</t>
  </si>
  <si>
    <t>john.sen34@example.com</t>
  </si>
  <si>
    <t>E0035</t>
  </si>
  <si>
    <t>2021-11-25</t>
  </si>
  <si>
    <t>david.khan35@example.com</t>
  </si>
  <si>
    <t>E0036</t>
  </si>
  <si>
    <t>2018-06-15</t>
  </si>
  <si>
    <t>rohit.ghosh36@example.com</t>
  </si>
  <si>
    <t>E0037</t>
  </si>
  <si>
    <t>2021-05-24</t>
  </si>
  <si>
    <t>amit.ghosh37@example.com</t>
  </si>
  <si>
    <t>E0038</t>
  </si>
  <si>
    <t>2020-11-13</t>
  </si>
  <si>
    <t>neha.paul38@example.com</t>
  </si>
  <si>
    <t>E0039</t>
  </si>
  <si>
    <t>Brown</t>
  </si>
  <si>
    <t>2018-06-20</t>
  </si>
  <si>
    <t>david.brown39@example.com</t>
  </si>
  <si>
    <t>E0040</t>
  </si>
  <si>
    <t>2018-11-27</t>
  </si>
  <si>
    <t>neha.paul40@example.com</t>
  </si>
  <si>
    <t>E0041</t>
  </si>
  <si>
    <t>2021-11-26</t>
  </si>
  <si>
    <t>anita.ghosh41@example.com</t>
  </si>
  <si>
    <t>E0042</t>
  </si>
  <si>
    <t>2019-01-24</t>
  </si>
  <si>
    <t>jane.smith42@example.com</t>
  </si>
  <si>
    <t>E0043</t>
  </si>
  <si>
    <t>2018-01-16</t>
  </si>
  <si>
    <t>priya.das43@example.com</t>
  </si>
  <si>
    <t>E0044</t>
  </si>
  <si>
    <t>2023-01-06</t>
  </si>
  <si>
    <t>amit.das44@example.com</t>
  </si>
  <si>
    <t>E0045</t>
  </si>
  <si>
    <t>2024-07-26</t>
  </si>
  <si>
    <t>neha.brown45@example.com</t>
  </si>
  <si>
    <t>E0046</t>
  </si>
  <si>
    <t>2024-04-13</t>
  </si>
  <si>
    <t>rohit.smith46@example.com</t>
  </si>
  <si>
    <t>E0047</t>
  </si>
  <si>
    <t>2019-08-31</t>
  </si>
  <si>
    <t>anita.singh47@example.com</t>
  </si>
  <si>
    <t>E0048</t>
  </si>
  <si>
    <t>2021-12-16</t>
  </si>
  <si>
    <t>rahul.sen48@example.com</t>
  </si>
  <si>
    <t>E0049</t>
  </si>
  <si>
    <t>2021-01-16</t>
  </si>
  <si>
    <t>sara.smith49@example.com</t>
  </si>
  <si>
    <t>E0050</t>
  </si>
  <si>
    <t>david.smith50@example.com</t>
  </si>
  <si>
    <t>E0051</t>
  </si>
  <si>
    <t>2019-02-18</t>
  </si>
  <si>
    <t>john.singh51@example.com</t>
  </si>
  <si>
    <t>E0052</t>
  </si>
  <si>
    <t>2018-05-08</t>
  </si>
  <si>
    <t>david.das52@example.com</t>
  </si>
  <si>
    <t>E0053</t>
  </si>
  <si>
    <t>2018-10-12</t>
  </si>
  <si>
    <t>rohit.roy53@example.com</t>
  </si>
  <si>
    <t>E0054</t>
  </si>
  <si>
    <t>2020-12-24</t>
  </si>
  <si>
    <t>priya.smith54@example.com</t>
  </si>
  <si>
    <t>E0055</t>
  </si>
  <si>
    <t>2021-01-21</t>
  </si>
  <si>
    <t>anita.brown55@example.com</t>
  </si>
  <si>
    <t>E0056</t>
  </si>
  <si>
    <t>2020-11-20</t>
  </si>
  <si>
    <t>anita.ghosh56@example.com</t>
  </si>
  <si>
    <t>E0057</t>
  </si>
  <si>
    <t>2020-10-14</t>
  </si>
  <si>
    <t>rohit.singh57@example.com</t>
  </si>
  <si>
    <t>E0058</t>
  </si>
  <si>
    <t>2024-07-02</t>
  </si>
  <si>
    <t>john.khan58@example.com</t>
  </si>
  <si>
    <t>E0059</t>
  </si>
  <si>
    <t>2024-07-29</t>
  </si>
  <si>
    <t>anita.das59@example.com</t>
  </si>
  <si>
    <t>E0060</t>
  </si>
  <si>
    <t>2021-10-24</t>
  </si>
  <si>
    <t>david.singh60@example.com</t>
  </si>
  <si>
    <t>E0061</t>
  </si>
  <si>
    <t>2019-10-25</t>
  </si>
  <si>
    <t>neha.khan61@example.com</t>
  </si>
  <si>
    <t>E0062</t>
  </si>
  <si>
    <t>2024-01-26</t>
  </si>
  <si>
    <t>sara.paul62@example.com</t>
  </si>
  <si>
    <t>E0063</t>
  </si>
  <si>
    <t>2023-02-23</t>
  </si>
  <si>
    <t>anita.das63@example.com</t>
  </si>
  <si>
    <t>E0064</t>
  </si>
  <si>
    <t>2020-05-22</t>
  </si>
  <si>
    <t>david.sen64@example.com</t>
  </si>
  <si>
    <t>E0065</t>
  </si>
  <si>
    <t>2019-08-20</t>
  </si>
  <si>
    <t>rohit.paul65@example.com</t>
  </si>
  <si>
    <t>E0066</t>
  </si>
  <si>
    <t>2021-06-20</t>
  </si>
  <si>
    <t>john.brown66@example.com</t>
  </si>
  <si>
    <t>E0067</t>
  </si>
  <si>
    <t>2020-01-09</t>
  </si>
  <si>
    <t>david.das67@example.com</t>
  </si>
  <si>
    <t>E0068</t>
  </si>
  <si>
    <t>2023-07-27</t>
  </si>
  <si>
    <t>jane.roy68@example.com</t>
  </si>
  <si>
    <t>E0069</t>
  </si>
  <si>
    <t>2024-06-06</t>
  </si>
  <si>
    <t>amit.ghosh69@example.com</t>
  </si>
  <si>
    <t>E0070</t>
  </si>
  <si>
    <t>2020-04-09</t>
  </si>
  <si>
    <t>david.paul70@example.com</t>
  </si>
  <si>
    <t>E0071</t>
  </si>
  <si>
    <t>2020-04-29</t>
  </si>
  <si>
    <t>anita.paul71@example.com</t>
  </si>
  <si>
    <t>E0072</t>
  </si>
  <si>
    <t>2023-02-17</t>
  </si>
  <si>
    <t>rahul.paul72@example.com</t>
  </si>
  <si>
    <t>E0073</t>
  </si>
  <si>
    <t>2020-12-26</t>
  </si>
  <si>
    <t>jane.ghosh73@example.com</t>
  </si>
  <si>
    <t>E0074</t>
  </si>
  <si>
    <t>2023-08-18</t>
  </si>
  <si>
    <t>amit.das74@example.com</t>
  </si>
  <si>
    <t>E0075</t>
  </si>
  <si>
    <t>2024-03-24</t>
  </si>
  <si>
    <t>neha.roy75@example.com</t>
  </si>
  <si>
    <t>E0076</t>
  </si>
  <si>
    <t>2018-03-08</t>
  </si>
  <si>
    <t>sara.dutta76@example.com</t>
  </si>
  <si>
    <t>E0077</t>
  </si>
  <si>
    <t>2022-06-15</t>
  </si>
  <si>
    <t>neha.smith77@example.com</t>
  </si>
  <si>
    <t>E0078</t>
  </si>
  <si>
    <t>2019-07-03</t>
  </si>
  <si>
    <t>rahul.singh78@example.com</t>
  </si>
  <si>
    <t>E0079</t>
  </si>
  <si>
    <t>2024-03-18</t>
  </si>
  <si>
    <t>sara.brown79@example.com</t>
  </si>
  <si>
    <t>E0080</t>
  </si>
  <si>
    <t>2021-08-19</t>
  </si>
  <si>
    <t>anita.dutta80@example.com</t>
  </si>
  <si>
    <t>E0081</t>
  </si>
  <si>
    <t>2024-05-22</t>
  </si>
  <si>
    <t>anita.roy81@example.com</t>
  </si>
  <si>
    <t>E0082</t>
  </si>
  <si>
    <t>2018-09-07</t>
  </si>
  <si>
    <t>david.khan82@example.com</t>
  </si>
  <si>
    <t>E0083</t>
  </si>
  <si>
    <t>2022-05-13</t>
  </si>
  <si>
    <t>jane.ghosh83@example.com</t>
  </si>
  <si>
    <t>E0084</t>
  </si>
  <si>
    <t>2022-02-06</t>
  </si>
  <si>
    <t>priya.das84@example.com</t>
  </si>
  <si>
    <t>E0085</t>
  </si>
  <si>
    <t>2024-07-15</t>
  </si>
  <si>
    <t>sara.paul85@example.com</t>
  </si>
  <si>
    <t>E0086</t>
  </si>
  <si>
    <t>john.khan86@example.com</t>
  </si>
  <si>
    <t>E0087</t>
  </si>
  <si>
    <t>2022-06-21</t>
  </si>
  <si>
    <t>jane.smith87@example.com</t>
  </si>
  <si>
    <t>E0088</t>
  </si>
  <si>
    <t>2020-03-16</t>
  </si>
  <si>
    <t>rahul.ghosh88@example.com</t>
  </si>
  <si>
    <t>E0089</t>
  </si>
  <si>
    <t>2020-05-24</t>
  </si>
  <si>
    <t>sara.paul89@example.com</t>
  </si>
  <si>
    <t>E0090</t>
  </si>
  <si>
    <t>2024-09-05</t>
  </si>
  <si>
    <t>rohit.paul90@example.com</t>
  </si>
  <si>
    <t>E0091</t>
  </si>
  <si>
    <t>2021-08-09</t>
  </si>
  <si>
    <t>john.roy91@example.com</t>
  </si>
  <si>
    <t>E0092</t>
  </si>
  <si>
    <t>2023-02-11</t>
  </si>
  <si>
    <t>anita.paul92@example.com</t>
  </si>
  <si>
    <t>E0093</t>
  </si>
  <si>
    <t>2020-08-16</t>
  </si>
  <si>
    <t>rahul.khan93@example.com</t>
  </si>
  <si>
    <t>E0094</t>
  </si>
  <si>
    <t>2023-09-19</t>
  </si>
  <si>
    <t>rahul.khan94@example.com</t>
  </si>
  <si>
    <t>E0095</t>
  </si>
  <si>
    <t>2022-05-29</t>
  </si>
  <si>
    <t>priya.singh95@example.com</t>
  </si>
  <si>
    <t>E0096</t>
  </si>
  <si>
    <t>2021-09-27</t>
  </si>
  <si>
    <t>sara.ghosh96@example.com</t>
  </si>
  <si>
    <t>E0097</t>
  </si>
  <si>
    <t>2021-11-16</t>
  </si>
  <si>
    <t>david.paul97@example.com</t>
  </si>
  <si>
    <t>E0098</t>
  </si>
  <si>
    <t>2021-06-17</t>
  </si>
  <si>
    <t>amit.paul98@example.com</t>
  </si>
  <si>
    <t>E0099</t>
  </si>
  <si>
    <t>2022-04-20</t>
  </si>
  <si>
    <t>david.khan99@example.com</t>
  </si>
  <si>
    <t>E0100</t>
  </si>
  <si>
    <t>2019-05-16</t>
  </si>
  <si>
    <t>david.roy100@example.com</t>
  </si>
  <si>
    <t>E0101</t>
  </si>
  <si>
    <t>2021-04-16</t>
  </si>
  <si>
    <t>jane.smith101@example.com</t>
  </si>
  <si>
    <t>E0102</t>
  </si>
  <si>
    <t>2023-01-08</t>
  </si>
  <si>
    <t>anita.sen102@example.com</t>
  </si>
  <si>
    <t>E0103</t>
  </si>
  <si>
    <t>2024-03-08</t>
  </si>
  <si>
    <t>rahul.roy103@example.com</t>
  </si>
  <si>
    <t>E0104</t>
  </si>
  <si>
    <t>2024-08-07</t>
  </si>
  <si>
    <t>rohit.paul104@example.com</t>
  </si>
  <si>
    <t>E0105</t>
  </si>
  <si>
    <t>2020-03-05</t>
  </si>
  <si>
    <t>priya.dutta105@example.com</t>
  </si>
  <si>
    <t>E0106</t>
  </si>
  <si>
    <t>2023-02-21</t>
  </si>
  <si>
    <t>neha.ghosh106@example.com</t>
  </si>
  <si>
    <t>E0107</t>
  </si>
  <si>
    <t>2019-04-27</t>
  </si>
  <si>
    <t>neha.singh107@example.com</t>
  </si>
  <si>
    <t>E0108</t>
  </si>
  <si>
    <t>2018-08-15</t>
  </si>
  <si>
    <t>neha.sen108@example.com</t>
  </si>
  <si>
    <t>E0109</t>
  </si>
  <si>
    <t>2019-02-22</t>
  </si>
  <si>
    <t>john.smith109@example.com</t>
  </si>
  <si>
    <t>E0110</t>
  </si>
  <si>
    <t>2019-03-13</t>
  </si>
  <si>
    <t>neha.das110@example.com</t>
  </si>
  <si>
    <t>E0111</t>
  </si>
  <si>
    <t>2021-10-01</t>
  </si>
  <si>
    <t>amit.dutta111@example.com</t>
  </si>
  <si>
    <t>E0112</t>
  </si>
  <si>
    <t>2021-10-28</t>
  </si>
  <si>
    <t>amit.khan112@example.com</t>
  </si>
  <si>
    <t>E0113</t>
  </si>
  <si>
    <t>2018-06-23</t>
  </si>
  <si>
    <t>anita.das113@example.com</t>
  </si>
  <si>
    <t>E0114</t>
  </si>
  <si>
    <t>2024-07-09</t>
  </si>
  <si>
    <t>david.smith114@example.com</t>
  </si>
  <si>
    <t>E0115</t>
  </si>
  <si>
    <t>2022-01-27</t>
  </si>
  <si>
    <t>sara.roy115@example.com</t>
  </si>
  <si>
    <t>E0116</t>
  </si>
  <si>
    <t>2021-03-04</t>
  </si>
  <si>
    <t>rohit.das116@example.com</t>
  </si>
  <si>
    <t>E0117</t>
  </si>
  <si>
    <t>neha.sen117@example.com</t>
  </si>
  <si>
    <t>E0118</t>
  </si>
  <si>
    <t>2022-07-04</t>
  </si>
  <si>
    <t>neha.khan118@example.com</t>
  </si>
  <si>
    <t>E0119</t>
  </si>
  <si>
    <t>2022-03-08</t>
  </si>
  <si>
    <t>jane.smith119@example.com</t>
  </si>
  <si>
    <t>E0120</t>
  </si>
  <si>
    <t>2022-03-18</t>
  </si>
  <si>
    <t>jane.brown120@example.com</t>
  </si>
  <si>
    <t>E0121</t>
  </si>
  <si>
    <t>2021-10-29</t>
  </si>
  <si>
    <t>priya.ghosh121@example.com</t>
  </si>
  <si>
    <t>E0122</t>
  </si>
  <si>
    <t>2024-05-02</t>
  </si>
  <si>
    <t>jane.singh122@example.com</t>
  </si>
  <si>
    <t>E0123</t>
  </si>
  <si>
    <t>2018-01-25</t>
  </si>
  <si>
    <t>jane.das123@example.com</t>
  </si>
  <si>
    <t>E0124</t>
  </si>
  <si>
    <t>2019-12-21</t>
  </si>
  <si>
    <t>jane.khan124@example.com</t>
  </si>
  <si>
    <t>E0125</t>
  </si>
  <si>
    <t>2019-10-27</t>
  </si>
  <si>
    <t>david.singh125@example.com</t>
  </si>
  <si>
    <t>E0126</t>
  </si>
  <si>
    <t>2018-07-20</t>
  </si>
  <si>
    <t>sara.brown126@example.com</t>
  </si>
  <si>
    <t>E0127</t>
  </si>
  <si>
    <t>2024-07-05</t>
  </si>
  <si>
    <t>john.roy127@example.com</t>
  </si>
  <si>
    <t>E0128</t>
  </si>
  <si>
    <t>2024-05-01</t>
  </si>
  <si>
    <t>anita.das128@example.com</t>
  </si>
  <si>
    <t>E0129</t>
  </si>
  <si>
    <t>2022-12-02</t>
  </si>
  <si>
    <t>priya.singh129@example.com</t>
  </si>
  <si>
    <t>E0130</t>
  </si>
  <si>
    <t>2021-03-29</t>
  </si>
  <si>
    <t>sara.singh130@example.com</t>
  </si>
  <si>
    <t>E0131</t>
  </si>
  <si>
    <t>2019-05-30</t>
  </si>
  <si>
    <t>neha.dutta131@example.com</t>
  </si>
  <si>
    <t>E0132</t>
  </si>
  <si>
    <t>2022-05-07</t>
  </si>
  <si>
    <t>jane.ghosh132@example.com</t>
  </si>
  <si>
    <t>E0133</t>
  </si>
  <si>
    <t>2022-07-18</t>
  </si>
  <si>
    <t>anita.brown133@example.com</t>
  </si>
  <si>
    <t>E0134</t>
  </si>
  <si>
    <t>2023-10-16</t>
  </si>
  <si>
    <t>neha.dutta134@example.com</t>
  </si>
  <si>
    <t>E0135</t>
  </si>
  <si>
    <t>2023-10-24</t>
  </si>
  <si>
    <t>anita.smith135@example.com</t>
  </si>
  <si>
    <t>E0136</t>
  </si>
  <si>
    <t>2019-09-01</t>
  </si>
  <si>
    <t>david.dutta136@example.com</t>
  </si>
  <si>
    <t>E0137</t>
  </si>
  <si>
    <t>2024-03-25</t>
  </si>
  <si>
    <t>priya.khan137@example.com</t>
  </si>
  <si>
    <t>E0138</t>
  </si>
  <si>
    <t>2021-02-03</t>
  </si>
  <si>
    <t>david.ghosh138@example.com</t>
  </si>
  <si>
    <t>E0139</t>
  </si>
  <si>
    <t>2020-11-17</t>
  </si>
  <si>
    <t>rahul.brown139@example.com</t>
  </si>
  <si>
    <t>E0140</t>
  </si>
  <si>
    <t>2018-08-10</t>
  </si>
  <si>
    <t>priya.brown140@example.com</t>
  </si>
  <si>
    <t>E0141</t>
  </si>
  <si>
    <t>2020-08-14</t>
  </si>
  <si>
    <t>sara.das141@example.com</t>
  </si>
  <si>
    <t>E0142</t>
  </si>
  <si>
    <t>2019-03-23</t>
  </si>
  <si>
    <t>david.khan142@example.com</t>
  </si>
  <si>
    <t>E0143</t>
  </si>
  <si>
    <t>2021-04-30</t>
  </si>
  <si>
    <t>john.brown143@example.com</t>
  </si>
  <si>
    <t>E0144</t>
  </si>
  <si>
    <t>2018-07-15</t>
  </si>
  <si>
    <t>anita.sen144@example.com</t>
  </si>
  <si>
    <t>E0145</t>
  </si>
  <si>
    <t>2024-05-05</t>
  </si>
  <si>
    <t>jane.roy145@example.com</t>
  </si>
  <si>
    <t>E0146</t>
  </si>
  <si>
    <t>2019-09-30</t>
  </si>
  <si>
    <t>rohit.ghosh146@example.com</t>
  </si>
  <si>
    <t>E0147</t>
  </si>
  <si>
    <t>2022-05-02</t>
  </si>
  <si>
    <t>david.smith147@example.com</t>
  </si>
  <si>
    <t>E0148</t>
  </si>
  <si>
    <t>2023-11-29</t>
  </si>
  <si>
    <t>sara.singh148@example.com</t>
  </si>
  <si>
    <t>E0149</t>
  </si>
  <si>
    <t>neha.roy149@example.com</t>
  </si>
  <si>
    <t>E0150</t>
  </si>
  <si>
    <t>2018-08-13</t>
  </si>
  <si>
    <t>rohit.das150@example.com</t>
  </si>
  <si>
    <t>E0151</t>
  </si>
  <si>
    <t>2020-01-21</t>
  </si>
  <si>
    <t>priya.dutta151@example.com</t>
  </si>
  <si>
    <t>E0152</t>
  </si>
  <si>
    <t>2020-01-10</t>
  </si>
  <si>
    <t>david.paul152@example.com</t>
  </si>
  <si>
    <t>E0153</t>
  </si>
  <si>
    <t>2021-07-18</t>
  </si>
  <si>
    <t>rohit.paul153@example.com</t>
  </si>
  <si>
    <t>E0154</t>
  </si>
  <si>
    <t>2018-08-07</t>
  </si>
  <si>
    <t>rahul.paul154@example.com</t>
  </si>
  <si>
    <t>E0155</t>
  </si>
  <si>
    <t>2022-07-27</t>
  </si>
  <si>
    <t>sara.roy155@example.com</t>
  </si>
  <si>
    <t>E0156</t>
  </si>
  <si>
    <t>2022-09-19</t>
  </si>
  <si>
    <t>anita.roy156@example.com</t>
  </si>
  <si>
    <t>E0157</t>
  </si>
  <si>
    <t>2019-08-07</t>
  </si>
  <si>
    <t>sara.khan157@example.com</t>
  </si>
  <si>
    <t>E0158</t>
  </si>
  <si>
    <t>2019-01-19</t>
  </si>
  <si>
    <t>anita.singh158@example.com</t>
  </si>
  <si>
    <t>E0159</t>
  </si>
  <si>
    <t>2020-06-29</t>
  </si>
  <si>
    <t>rahul.khan159@example.com</t>
  </si>
  <si>
    <t>E0160</t>
  </si>
  <si>
    <t>2018-07-11</t>
  </si>
  <si>
    <t>anita.brown160@example.com</t>
  </si>
  <si>
    <t>E0161</t>
  </si>
  <si>
    <t>2019-01-08</t>
  </si>
  <si>
    <t>david.dutta161@example.com</t>
  </si>
  <si>
    <t>E0162</t>
  </si>
  <si>
    <t>priya.ghosh162@example.com</t>
  </si>
  <si>
    <t>E0163</t>
  </si>
  <si>
    <t>2018-06-24</t>
  </si>
  <si>
    <t>rohit.paul163@example.com</t>
  </si>
  <si>
    <t>E0164</t>
  </si>
  <si>
    <t>2022-05-16</t>
  </si>
  <si>
    <t>rahul.ghosh164@example.com</t>
  </si>
  <si>
    <t>E0165</t>
  </si>
  <si>
    <t>2024-01-03</t>
  </si>
  <si>
    <t>jane.khan165@example.com</t>
  </si>
  <si>
    <t>E0166</t>
  </si>
  <si>
    <t>2020-04-30</t>
  </si>
  <si>
    <t>sara.paul166@example.com</t>
  </si>
  <si>
    <t>E0167</t>
  </si>
  <si>
    <t>2018-11-21</t>
  </si>
  <si>
    <t>david.khan167@example.com</t>
  </si>
  <si>
    <t>E0168</t>
  </si>
  <si>
    <t>2023-03-12</t>
  </si>
  <si>
    <t>sara.sen168@example.com</t>
  </si>
  <si>
    <t>E0169</t>
  </si>
  <si>
    <t>2019-10-03</t>
  </si>
  <si>
    <t>john.ghosh169@example.com</t>
  </si>
  <si>
    <t>E0170</t>
  </si>
  <si>
    <t>2021-03-03</t>
  </si>
  <si>
    <t>anita.roy170@example.com</t>
  </si>
  <si>
    <t>E0171</t>
  </si>
  <si>
    <t>2020-02-06</t>
  </si>
  <si>
    <t>amit.paul171@example.com</t>
  </si>
  <si>
    <t>E0172</t>
  </si>
  <si>
    <t>2020-03-12</t>
  </si>
  <si>
    <t>neha.singh172@example.com</t>
  </si>
  <si>
    <t>E0173</t>
  </si>
  <si>
    <t>2020-03-13</t>
  </si>
  <si>
    <t>john.singh173@example.com</t>
  </si>
  <si>
    <t>E0174</t>
  </si>
  <si>
    <t>2018-07-21</t>
  </si>
  <si>
    <t>priya.das174@example.com</t>
  </si>
  <si>
    <t>E0175</t>
  </si>
  <si>
    <t>2020-03-19</t>
  </si>
  <si>
    <t>sara.singh175@example.com</t>
  </si>
  <si>
    <t>E0176</t>
  </si>
  <si>
    <t>2023-01-25</t>
  </si>
  <si>
    <t>neha.sen176@example.com</t>
  </si>
  <si>
    <t>E0177</t>
  </si>
  <si>
    <t>2020-07-01</t>
  </si>
  <si>
    <t>sara.paul177@example.com</t>
  </si>
  <si>
    <t>E0178</t>
  </si>
  <si>
    <t>2024-03-20</t>
  </si>
  <si>
    <t>john.khan178@example.com</t>
  </si>
  <si>
    <t>E0179</t>
  </si>
  <si>
    <t>2018-07-28</t>
  </si>
  <si>
    <t>sara.ghosh179@example.com</t>
  </si>
  <si>
    <t>E0180</t>
  </si>
  <si>
    <t>2018-05-03</t>
  </si>
  <si>
    <t>rohit.khan180@example.com</t>
  </si>
  <si>
    <t>E0181</t>
  </si>
  <si>
    <t>2019-09-19</t>
  </si>
  <si>
    <t>rahul.das181@example.com</t>
  </si>
  <si>
    <t>E0182</t>
  </si>
  <si>
    <t>2018-04-15</t>
  </si>
  <si>
    <t>neha.dutta182@example.com</t>
  </si>
  <si>
    <t>E0183</t>
  </si>
  <si>
    <t>2024-06-20</t>
  </si>
  <si>
    <t>anita.sen183@example.com</t>
  </si>
  <si>
    <t>E0184</t>
  </si>
  <si>
    <t>2021-03-12</t>
  </si>
  <si>
    <t>neha.singh184@example.com</t>
  </si>
  <si>
    <t>E0185</t>
  </si>
  <si>
    <t>neha.ghosh185@example.com</t>
  </si>
  <si>
    <t>E0186</t>
  </si>
  <si>
    <t>2019-08-18</t>
  </si>
  <si>
    <t>david.das186@example.com</t>
  </si>
  <si>
    <t>E0187</t>
  </si>
  <si>
    <t>rohit.singh187@example.com</t>
  </si>
  <si>
    <t>E0188</t>
  </si>
  <si>
    <t>2021-08-23</t>
  </si>
  <si>
    <t>rahul.brown188@example.com</t>
  </si>
  <si>
    <t>E0189</t>
  </si>
  <si>
    <t>2018-11-14</t>
  </si>
  <si>
    <t>sara.khan189@example.com</t>
  </si>
  <si>
    <t>E0190</t>
  </si>
  <si>
    <t>2021-04-14</t>
  </si>
  <si>
    <t>john.das190@example.com</t>
  </si>
  <si>
    <t>E0191</t>
  </si>
  <si>
    <t>2019-04-05</t>
  </si>
  <si>
    <t>neha.brown191@example.com</t>
  </si>
  <si>
    <t>E0192</t>
  </si>
  <si>
    <t>2022-09-24</t>
  </si>
  <si>
    <t>neha.smith192@example.com</t>
  </si>
  <si>
    <t>E0193</t>
  </si>
  <si>
    <t>2024-01-12</t>
  </si>
  <si>
    <t>rohit.brown193@example.com</t>
  </si>
  <si>
    <t>E0194</t>
  </si>
  <si>
    <t>2020-05-01</t>
  </si>
  <si>
    <t>priya.ghosh194@example.com</t>
  </si>
  <si>
    <t>E0195</t>
  </si>
  <si>
    <t>2019-08-23</t>
  </si>
  <si>
    <t>amit.brown195@example.com</t>
  </si>
  <si>
    <t>E0196</t>
  </si>
  <si>
    <t>2022-01-15</t>
  </si>
  <si>
    <t>john.sen196@example.com</t>
  </si>
  <si>
    <t>E0197</t>
  </si>
  <si>
    <t>2018-05-27</t>
  </si>
  <si>
    <t>amit.singh197@example.com</t>
  </si>
  <si>
    <t>E0198</t>
  </si>
  <si>
    <t>jane.das198@example.com</t>
  </si>
  <si>
    <t>E0199</t>
  </si>
  <si>
    <t>2018-02-17</t>
  </si>
  <si>
    <t>anita.paul199@example.com</t>
  </si>
  <si>
    <t>E0200</t>
  </si>
  <si>
    <t>2023-06-18</t>
  </si>
  <si>
    <t>priya.brown200@example.com</t>
  </si>
  <si>
    <t>E0201</t>
  </si>
  <si>
    <t>2022-04-23</t>
  </si>
  <si>
    <t>rohit.roy201@example.com</t>
  </si>
  <si>
    <t>E0202</t>
  </si>
  <si>
    <t>2021-07-17</t>
  </si>
  <si>
    <t>jane.brown202@example.com</t>
  </si>
  <si>
    <t>E0203</t>
  </si>
  <si>
    <t>2023-04-16</t>
  </si>
  <si>
    <t>rohit.khan203@example.com</t>
  </si>
  <si>
    <t>E0204</t>
  </si>
  <si>
    <t>2019-02-19</t>
  </si>
  <si>
    <t>rohit.roy204@example.com</t>
  </si>
  <si>
    <t>E0205</t>
  </si>
  <si>
    <t>2018-11-01</t>
  </si>
  <si>
    <t>john.ghosh205@example.com</t>
  </si>
  <si>
    <t>E0206</t>
  </si>
  <si>
    <t>amit.ghosh206@example.com</t>
  </si>
  <si>
    <t>E0207</t>
  </si>
  <si>
    <t>2020-07-24</t>
  </si>
  <si>
    <t>amit.dutta207@example.com</t>
  </si>
  <si>
    <t>E0208</t>
  </si>
  <si>
    <t>2023-10-25</t>
  </si>
  <si>
    <t>anita.singh208@example.com</t>
  </si>
  <si>
    <t>E0209</t>
  </si>
  <si>
    <t>rohit.dutta209@example.com</t>
  </si>
  <si>
    <t>E0210</t>
  </si>
  <si>
    <t>2022-03-22</t>
  </si>
  <si>
    <t>david.brown210@example.com</t>
  </si>
  <si>
    <t>E0211</t>
  </si>
  <si>
    <t>2018-09-02</t>
  </si>
  <si>
    <t>priya.ghosh211@example.com</t>
  </si>
  <si>
    <t>E0212</t>
  </si>
  <si>
    <t>2021-05-26</t>
  </si>
  <si>
    <t>neha.roy212@example.com</t>
  </si>
  <si>
    <t>E0213</t>
  </si>
  <si>
    <t>2020-10-26</t>
  </si>
  <si>
    <t>rohit.khan213@example.com</t>
  </si>
  <si>
    <t>E0214</t>
  </si>
  <si>
    <t>2023-12-13</t>
  </si>
  <si>
    <t>rahul.das214@example.com</t>
  </si>
  <si>
    <t>E0215</t>
  </si>
  <si>
    <t>2021-07-19</t>
  </si>
  <si>
    <t>david.singh215@example.com</t>
  </si>
  <si>
    <t>E0216</t>
  </si>
  <si>
    <t>2022-11-13</t>
  </si>
  <si>
    <t>david.ghosh216@example.com</t>
  </si>
  <si>
    <t>E0217</t>
  </si>
  <si>
    <t>priya.khan217@example.com</t>
  </si>
  <si>
    <t>E0218</t>
  </si>
  <si>
    <t>2019-07-08</t>
  </si>
  <si>
    <t>rohit.das218@example.com</t>
  </si>
  <si>
    <t>E0219</t>
  </si>
  <si>
    <t>2018-06-08</t>
  </si>
  <si>
    <t>david.sen219@example.com</t>
  </si>
  <si>
    <t>E0220</t>
  </si>
  <si>
    <t>neha.roy220@example.com</t>
  </si>
  <si>
    <t>E0221</t>
  </si>
  <si>
    <t>amit.paul221@example.com</t>
  </si>
  <si>
    <t>E0222</t>
  </si>
  <si>
    <t>2022-08-10</t>
  </si>
  <si>
    <t>amit.sen222@example.com</t>
  </si>
  <si>
    <t>E0223</t>
  </si>
  <si>
    <t>2018-04-30</t>
  </si>
  <si>
    <t>john.ghosh223@example.com</t>
  </si>
  <si>
    <t>E0224</t>
  </si>
  <si>
    <t>2020-06-30</t>
  </si>
  <si>
    <t>john.brown224@example.com</t>
  </si>
  <si>
    <t>E0225</t>
  </si>
  <si>
    <t>2024-06-07</t>
  </si>
  <si>
    <t>david.sen225@example.com</t>
  </si>
  <si>
    <t>E0226</t>
  </si>
  <si>
    <t>2021-08-15</t>
  </si>
  <si>
    <t>rohit.ghosh226@example.com</t>
  </si>
  <si>
    <t>E0227</t>
  </si>
  <si>
    <t>2020-08-20</t>
  </si>
  <si>
    <t>priya.khan227@example.com</t>
  </si>
  <si>
    <t>E0228</t>
  </si>
  <si>
    <t>2019-03-16</t>
  </si>
  <si>
    <t>neha.brown228@example.com</t>
  </si>
  <si>
    <t>E0229</t>
  </si>
  <si>
    <t>2020-09-08</t>
  </si>
  <si>
    <t>jane.brown229@example.com</t>
  </si>
  <si>
    <t>E0230</t>
  </si>
  <si>
    <t>2018-07-01</t>
  </si>
  <si>
    <t>david.khan230@example.com</t>
  </si>
  <si>
    <t>E0231</t>
  </si>
  <si>
    <t>2018-08-22</t>
  </si>
  <si>
    <t>priya.roy231@example.com</t>
  </si>
  <si>
    <t>E0232</t>
  </si>
  <si>
    <t>2021-11-21</t>
  </si>
  <si>
    <t>amit.sen232@example.com</t>
  </si>
  <si>
    <t>E0233</t>
  </si>
  <si>
    <t>2023-12-29</t>
  </si>
  <si>
    <t>david.dutta233@example.com</t>
  </si>
  <si>
    <t>E0234</t>
  </si>
  <si>
    <t>2021-01-17</t>
  </si>
  <si>
    <t>priya.roy234@example.com</t>
  </si>
  <si>
    <t>E0235</t>
  </si>
  <si>
    <t>2021-01-06</t>
  </si>
  <si>
    <t>jane.ghosh235@example.com</t>
  </si>
  <si>
    <t>E0236</t>
  </si>
  <si>
    <t>2021-06-01</t>
  </si>
  <si>
    <t>john.brown236@example.com</t>
  </si>
  <si>
    <t>E0237</t>
  </si>
  <si>
    <t>2022-03-12</t>
  </si>
  <si>
    <t>rohit.ghosh237@example.com</t>
  </si>
  <si>
    <t>E0238</t>
  </si>
  <si>
    <t>2022-04-29</t>
  </si>
  <si>
    <t>amit.brown238@example.com</t>
  </si>
  <si>
    <t>E0239</t>
  </si>
  <si>
    <t>2022-06-12</t>
  </si>
  <si>
    <t>neha.paul239@example.com</t>
  </si>
  <si>
    <t>E0240</t>
  </si>
  <si>
    <t>2023-04-07</t>
  </si>
  <si>
    <t>rohit.smith240@example.com</t>
  </si>
  <si>
    <t>E0241</t>
  </si>
  <si>
    <t>2023-07-08</t>
  </si>
  <si>
    <t>sara.das241@example.com</t>
  </si>
  <si>
    <t>E0242</t>
  </si>
  <si>
    <t>2024-07-17</t>
  </si>
  <si>
    <t>priya.dutta242@example.com</t>
  </si>
  <si>
    <t>E0243</t>
  </si>
  <si>
    <t>2020-06-03</t>
  </si>
  <si>
    <t>david.ghosh243@example.com</t>
  </si>
  <si>
    <t>E0244</t>
  </si>
  <si>
    <t>rohit.paul244@example.com</t>
  </si>
  <si>
    <t>E0245</t>
  </si>
  <si>
    <t>rahul.sen245@example.com</t>
  </si>
  <si>
    <t>E0246</t>
  </si>
  <si>
    <t>2023-08-01</t>
  </si>
  <si>
    <t>amit.ghosh246@example.com</t>
  </si>
  <si>
    <t>E0247</t>
  </si>
  <si>
    <t>2020-08-24</t>
  </si>
  <si>
    <t>neha.das247@example.com</t>
  </si>
  <si>
    <t>E0248</t>
  </si>
  <si>
    <t>2019-02-01</t>
  </si>
  <si>
    <t>jane.dutta248@example.com</t>
  </si>
  <si>
    <t>E0249</t>
  </si>
  <si>
    <t>jane.singh249@example.com</t>
  </si>
  <si>
    <t>E0250</t>
  </si>
  <si>
    <t>2023-04-21</t>
  </si>
  <si>
    <t>anita.roy250@example.com</t>
  </si>
  <si>
    <t>E0251</t>
  </si>
  <si>
    <t>2020-03-02</t>
  </si>
  <si>
    <t>rahul.paul251@example.com</t>
  </si>
  <si>
    <t>E0252</t>
  </si>
  <si>
    <t>sara.brown252@example.com</t>
  </si>
  <si>
    <t>E0253</t>
  </si>
  <si>
    <t>2024-10-11</t>
  </si>
  <si>
    <t>david.smith253@example.com</t>
  </si>
  <si>
    <t>E0254</t>
  </si>
  <si>
    <t>2018-06-17</t>
  </si>
  <si>
    <t>david.ghosh254@example.com</t>
  </si>
  <si>
    <t>E0255</t>
  </si>
  <si>
    <t>2021-09-29</t>
  </si>
  <si>
    <t>rahul.paul255@example.com</t>
  </si>
  <si>
    <t>E0256</t>
  </si>
  <si>
    <t>2023-06-19</t>
  </si>
  <si>
    <t>neha.das256@example.com</t>
  </si>
  <si>
    <t>E0257</t>
  </si>
  <si>
    <t>2023-07-15</t>
  </si>
  <si>
    <t>neha.khan257@example.com</t>
  </si>
  <si>
    <t>E0258</t>
  </si>
  <si>
    <t>2018-11-06</t>
  </si>
  <si>
    <t>jane.smith258@example.com</t>
  </si>
  <si>
    <t>E0259</t>
  </si>
  <si>
    <t>2020-05-03</t>
  </si>
  <si>
    <t>neha.brown259@example.com</t>
  </si>
  <si>
    <t>E0260</t>
  </si>
  <si>
    <t>jane.ghosh260@example.com</t>
  </si>
  <si>
    <t>E0261</t>
  </si>
  <si>
    <t>2023-04-11</t>
  </si>
  <si>
    <t>sara.ghosh261@example.com</t>
  </si>
  <si>
    <t>E0262</t>
  </si>
  <si>
    <t>sara.das262@example.com</t>
  </si>
  <si>
    <t>E0263</t>
  </si>
  <si>
    <t>2020-10-27</t>
  </si>
  <si>
    <t>rohit.paul263@example.com</t>
  </si>
  <si>
    <t>E0264</t>
  </si>
  <si>
    <t>2018-03-24</t>
  </si>
  <si>
    <t>priya.das264@example.com</t>
  </si>
  <si>
    <t>E0265</t>
  </si>
  <si>
    <t>2021-03-09</t>
  </si>
  <si>
    <t>rohit.khan265@example.com</t>
  </si>
  <si>
    <t>E0266</t>
  </si>
  <si>
    <t>2019-07-24</t>
  </si>
  <si>
    <t>john.dutta266@example.com</t>
  </si>
  <si>
    <t>E0267</t>
  </si>
  <si>
    <t>2022-12-14</t>
  </si>
  <si>
    <t>anita.brown267@example.com</t>
  </si>
  <si>
    <t>E0268</t>
  </si>
  <si>
    <t>2018-02-14</t>
  </si>
  <si>
    <t>jane.khan268@example.com</t>
  </si>
  <si>
    <t>E0269</t>
  </si>
  <si>
    <t>2022-08-07</t>
  </si>
  <si>
    <t>sara.singh269@example.com</t>
  </si>
  <si>
    <t>E0270</t>
  </si>
  <si>
    <t>2020-01-14</t>
  </si>
  <si>
    <t>amit.sen270@example.com</t>
  </si>
  <si>
    <t>E0271</t>
  </si>
  <si>
    <t>2022-06-11</t>
  </si>
  <si>
    <t>amit.khan271@example.com</t>
  </si>
  <si>
    <t>E0272</t>
  </si>
  <si>
    <t>2022-07-26</t>
  </si>
  <si>
    <t>rohit.ghosh272@example.com</t>
  </si>
  <si>
    <t>E0273</t>
  </si>
  <si>
    <t>2023-08-22</t>
  </si>
  <si>
    <t>neha.sen273@example.com</t>
  </si>
  <si>
    <t>E0274</t>
  </si>
  <si>
    <t>2018-06-26</t>
  </si>
  <si>
    <t>priya.roy274@example.com</t>
  </si>
  <si>
    <t>E0275</t>
  </si>
  <si>
    <t>2023-07-10</t>
  </si>
  <si>
    <t>amit.paul275@example.com</t>
  </si>
  <si>
    <t>E0276</t>
  </si>
  <si>
    <t>2022-08-30</t>
  </si>
  <si>
    <t>sara.roy276@example.com</t>
  </si>
  <si>
    <t>E0277</t>
  </si>
  <si>
    <t>2024-09-11</t>
  </si>
  <si>
    <t>priya.ghosh277@example.com</t>
  </si>
  <si>
    <t>E0278</t>
  </si>
  <si>
    <t>2024-09-14</t>
  </si>
  <si>
    <t>rahul.smith278@example.com</t>
  </si>
  <si>
    <t>E0279</t>
  </si>
  <si>
    <t>2020-11-07</t>
  </si>
  <si>
    <t>david.brown279@example.com</t>
  </si>
  <si>
    <t>E0280</t>
  </si>
  <si>
    <t>2020-10-31</t>
  </si>
  <si>
    <t>rahul.das280@example.com</t>
  </si>
  <si>
    <t>E0281</t>
  </si>
  <si>
    <t>2021-01-02</t>
  </si>
  <si>
    <t>neha.brown281@example.com</t>
  </si>
  <si>
    <t>E0282</t>
  </si>
  <si>
    <t>2021-09-01</t>
  </si>
  <si>
    <t>neha.smith282@example.com</t>
  </si>
  <si>
    <t>E0283</t>
  </si>
  <si>
    <t>2021-10-10</t>
  </si>
  <si>
    <t>john.roy283@example.com</t>
  </si>
  <si>
    <t>E0284</t>
  </si>
  <si>
    <t>jane.smith284@example.com</t>
  </si>
  <si>
    <t>E0285</t>
  </si>
  <si>
    <t>2024-05-29</t>
  </si>
  <si>
    <t>sara.ghosh285@example.com</t>
  </si>
  <si>
    <t>E0286</t>
  </si>
  <si>
    <t>2019-04-13</t>
  </si>
  <si>
    <t>anita.ghosh286@example.com</t>
  </si>
  <si>
    <t>E0287</t>
  </si>
  <si>
    <t>2020-09-17</t>
  </si>
  <si>
    <t>john.das287@example.com</t>
  </si>
  <si>
    <t>E0288</t>
  </si>
  <si>
    <t>2022-01-16</t>
  </si>
  <si>
    <t>sara.smith288@example.com</t>
  </si>
  <si>
    <t>E0289</t>
  </si>
  <si>
    <t>2021-04-04</t>
  </si>
  <si>
    <t>rahul.brown289@example.com</t>
  </si>
  <si>
    <t>E0290</t>
  </si>
  <si>
    <t>2020-11-24</t>
  </si>
  <si>
    <t>priya.singh290@example.com</t>
  </si>
  <si>
    <t>E0291</t>
  </si>
  <si>
    <t>2020-06-26</t>
  </si>
  <si>
    <t>john.ghosh291@example.com</t>
  </si>
  <si>
    <t>E0292</t>
  </si>
  <si>
    <t>2021-05-15</t>
  </si>
  <si>
    <t>neha.das292@example.com</t>
  </si>
  <si>
    <t>E0293</t>
  </si>
  <si>
    <t>2023-07-29</t>
  </si>
  <si>
    <t>david.ghosh293@example.com</t>
  </si>
  <si>
    <t>E0294</t>
  </si>
  <si>
    <t>2018-05-16</t>
  </si>
  <si>
    <t>amit.ghosh294@example.com</t>
  </si>
  <si>
    <t>E0295</t>
  </si>
  <si>
    <t>2022-04-21</t>
  </si>
  <si>
    <t>neha.singh295@example.com</t>
  </si>
  <si>
    <t>E0296</t>
  </si>
  <si>
    <t>2018-11-24</t>
  </si>
  <si>
    <t>rohit.smith296@example.com</t>
  </si>
  <si>
    <t>E0297</t>
  </si>
  <si>
    <t>2023-08-06</t>
  </si>
  <si>
    <t>amit.khan297@example.com</t>
  </si>
  <si>
    <t>E0298</t>
  </si>
  <si>
    <t>2020-09-22</t>
  </si>
  <si>
    <t>anita.dutta298@example.com</t>
  </si>
  <si>
    <t>E0299</t>
  </si>
  <si>
    <t>2023-10-18</t>
  </si>
  <si>
    <t>rohit.smith299@example.com</t>
  </si>
  <si>
    <t>E0300</t>
  </si>
  <si>
    <t>2020-08-18</t>
  </si>
  <si>
    <t>jane.khan300@example.com</t>
  </si>
  <si>
    <t>E0301</t>
  </si>
  <si>
    <t>2024-02-19</t>
  </si>
  <si>
    <t>david.das301@example.com</t>
  </si>
  <si>
    <t>E0302</t>
  </si>
  <si>
    <t>jane.roy302@example.com</t>
  </si>
  <si>
    <t>E0303</t>
  </si>
  <si>
    <t>2019-12-07</t>
  </si>
  <si>
    <t>amit.dutta303@example.com</t>
  </si>
  <si>
    <t>E0304</t>
  </si>
  <si>
    <t>2019-07-10</t>
  </si>
  <si>
    <t>neha.smith304@example.com</t>
  </si>
  <si>
    <t>E0305</t>
  </si>
  <si>
    <t>2019-03-29</t>
  </si>
  <si>
    <t>david.ghosh305@example.com</t>
  </si>
  <si>
    <t>E0306</t>
  </si>
  <si>
    <t>2021-05-21</t>
  </si>
  <si>
    <t>john.das306@example.com</t>
  </si>
  <si>
    <t>E0307</t>
  </si>
  <si>
    <t>2023-09-10</t>
  </si>
  <si>
    <t>david.khan307@example.com</t>
  </si>
  <si>
    <t>E0308</t>
  </si>
  <si>
    <t>2018-09-20</t>
  </si>
  <si>
    <t>rahul.sen308@example.com</t>
  </si>
  <si>
    <t>E0309</t>
  </si>
  <si>
    <t>neha.singh309@example.com</t>
  </si>
  <si>
    <t>E0310</t>
  </si>
  <si>
    <t>2022-02-16</t>
  </si>
  <si>
    <t>sara.singh310@example.com</t>
  </si>
  <si>
    <t>E0311</t>
  </si>
  <si>
    <t>sara.roy311@example.com</t>
  </si>
  <si>
    <t>E0312</t>
  </si>
  <si>
    <t>2019-05-02</t>
  </si>
  <si>
    <t>neha.brown312@example.com</t>
  </si>
  <si>
    <t>E0313</t>
  </si>
  <si>
    <t>2023-08-31</t>
  </si>
  <si>
    <t>jane.brown313@example.com</t>
  </si>
  <si>
    <t>E0314</t>
  </si>
  <si>
    <t>2018-03-05</t>
  </si>
  <si>
    <t>rohit.roy314@example.com</t>
  </si>
  <si>
    <t>E0315</t>
  </si>
  <si>
    <t>2020-07-02</t>
  </si>
  <si>
    <t>amit.brown315@example.com</t>
  </si>
  <si>
    <t>E0316</t>
  </si>
  <si>
    <t>2019-09-21</t>
  </si>
  <si>
    <t>sara.das316@example.com</t>
  </si>
  <si>
    <t>E0317</t>
  </si>
  <si>
    <t>2019-01-09</t>
  </si>
  <si>
    <t>sara.roy317@example.com</t>
  </si>
  <si>
    <t>E0318</t>
  </si>
  <si>
    <t>2018-12-15</t>
  </si>
  <si>
    <t>neha.das318@example.com</t>
  </si>
  <si>
    <t>E0319</t>
  </si>
  <si>
    <t>2020-07-26</t>
  </si>
  <si>
    <t>david.smith319@example.com</t>
  </si>
  <si>
    <t>E0320</t>
  </si>
  <si>
    <t>david.sen320@example.com</t>
  </si>
  <si>
    <t>E0321</t>
  </si>
  <si>
    <t>2022-09-10</t>
  </si>
  <si>
    <t>jane.smith321@example.com</t>
  </si>
  <si>
    <t>E0322</t>
  </si>
  <si>
    <t>2018-12-26</t>
  </si>
  <si>
    <t>john.das322@example.com</t>
  </si>
  <si>
    <t>E0323</t>
  </si>
  <si>
    <t>2021-05-08</t>
  </si>
  <si>
    <t>rohit.ghosh323@example.com</t>
  </si>
  <si>
    <t>E0324</t>
  </si>
  <si>
    <t>2022-04-07</t>
  </si>
  <si>
    <t>david.ghosh324@example.com</t>
  </si>
  <si>
    <t>E0325</t>
  </si>
  <si>
    <t>2019-03-07</t>
  </si>
  <si>
    <t>jane.ghosh325@example.com</t>
  </si>
  <si>
    <t>E0326</t>
  </si>
  <si>
    <t>2019-02-14</t>
  </si>
  <si>
    <t>amit.brown326@example.com</t>
  </si>
  <si>
    <t>E0327</t>
  </si>
  <si>
    <t>2023-05-11</t>
  </si>
  <si>
    <t>sara.paul327@example.com</t>
  </si>
  <si>
    <t>E0328</t>
  </si>
  <si>
    <t>2022-10-16</t>
  </si>
  <si>
    <t>sara.roy328@example.com</t>
  </si>
  <si>
    <t>E0329</t>
  </si>
  <si>
    <t>2021-03-27</t>
  </si>
  <si>
    <t>rahul.smith329@example.com</t>
  </si>
  <si>
    <t>E0330</t>
  </si>
  <si>
    <t>2023-03-20</t>
  </si>
  <si>
    <t>amit.ghosh330@example.com</t>
  </si>
  <si>
    <t>E0331</t>
  </si>
  <si>
    <t>2022-05-01</t>
  </si>
  <si>
    <t>priya.khan331@example.com</t>
  </si>
  <si>
    <t>E0332</t>
  </si>
  <si>
    <t>neha.singh332@example.com</t>
  </si>
  <si>
    <t>E0333</t>
  </si>
  <si>
    <t>2023-03-09</t>
  </si>
  <si>
    <t>anita.brown333@example.com</t>
  </si>
  <si>
    <t>E0334</t>
  </si>
  <si>
    <t>2019-02-16</t>
  </si>
  <si>
    <t>david.sen334@example.com</t>
  </si>
  <si>
    <t>E0335</t>
  </si>
  <si>
    <t>2024-01-14</t>
  </si>
  <si>
    <t>jane.das335@example.com</t>
  </si>
  <si>
    <t>E0336</t>
  </si>
  <si>
    <t>2020-08-28</t>
  </si>
  <si>
    <t>john.paul336@example.com</t>
  </si>
  <si>
    <t>E0337</t>
  </si>
  <si>
    <t>2024-08-11</t>
  </si>
  <si>
    <t>rohit.sen337@example.com</t>
  </si>
  <si>
    <t>E0338</t>
  </si>
  <si>
    <t>2020-04-24</t>
  </si>
  <si>
    <t>neha.khan338@example.com</t>
  </si>
  <si>
    <t>E0339</t>
  </si>
  <si>
    <t>2024-06-21</t>
  </si>
  <si>
    <t>sara.smith339@example.com</t>
  </si>
  <si>
    <t>E0340</t>
  </si>
  <si>
    <t>2018-07-07</t>
  </si>
  <si>
    <t>priya.ghosh340@example.com</t>
  </si>
  <si>
    <t>E0341</t>
  </si>
  <si>
    <t>2024-05-28</t>
  </si>
  <si>
    <t>john.das341@example.com</t>
  </si>
  <si>
    <t>E0342</t>
  </si>
  <si>
    <t>2024-04-06</t>
  </si>
  <si>
    <t>rohit.sen342@example.com</t>
  </si>
  <si>
    <t>E0343</t>
  </si>
  <si>
    <t>2020-01-29</t>
  </si>
  <si>
    <t>anita.roy343@example.com</t>
  </si>
  <si>
    <t>E0344</t>
  </si>
  <si>
    <t>2022-12-13</t>
  </si>
  <si>
    <t>rohit.smith344@example.com</t>
  </si>
  <si>
    <t>E0345</t>
  </si>
  <si>
    <t>2019-10-22</t>
  </si>
  <si>
    <t>anita.paul345@example.com</t>
  </si>
  <si>
    <t>E0346</t>
  </si>
  <si>
    <t>2022-07-13</t>
  </si>
  <si>
    <t>jane.sen346@example.com</t>
  </si>
  <si>
    <t>E0347</t>
  </si>
  <si>
    <t>2020-01-23</t>
  </si>
  <si>
    <t>john.khan347@example.com</t>
  </si>
  <si>
    <t>E0348</t>
  </si>
  <si>
    <t>2024-04-03</t>
  </si>
  <si>
    <t>amit.singh348@example.com</t>
  </si>
  <si>
    <t>E0349</t>
  </si>
  <si>
    <t>2018-05-19</t>
  </si>
  <si>
    <t>priya.das349@example.com</t>
  </si>
  <si>
    <t>E0350</t>
  </si>
  <si>
    <t>2021-03-26</t>
  </si>
  <si>
    <t>rahul.dutta350@example.com</t>
  </si>
  <si>
    <t>E0351</t>
  </si>
  <si>
    <t>2024-09-22</t>
  </si>
  <si>
    <t>rahul.ghosh351@example.com</t>
  </si>
  <si>
    <t>E0352</t>
  </si>
  <si>
    <t>2019-06-05</t>
  </si>
  <si>
    <t>jane.paul352@example.com</t>
  </si>
  <si>
    <t>E0353</t>
  </si>
  <si>
    <t>2022-08-22</t>
  </si>
  <si>
    <t>neha.singh353@example.com</t>
  </si>
  <si>
    <t>E0354</t>
  </si>
  <si>
    <t>2023-07-01</t>
  </si>
  <si>
    <t>anita.smith354@example.com</t>
  </si>
  <si>
    <t>E0355</t>
  </si>
  <si>
    <t>2018-08-12</t>
  </si>
  <si>
    <t>sara.dutta355@example.com</t>
  </si>
  <si>
    <t>E0356</t>
  </si>
  <si>
    <t>2022-05-28</t>
  </si>
  <si>
    <t>sara.paul356@example.com</t>
  </si>
  <si>
    <t>E0357</t>
  </si>
  <si>
    <t>2019-06-10</t>
  </si>
  <si>
    <t>john.sen357@example.com</t>
  </si>
  <si>
    <t>E0358</t>
  </si>
  <si>
    <t>2018-10-09</t>
  </si>
  <si>
    <t>john.smith358@example.com</t>
  </si>
  <si>
    <t>E0359</t>
  </si>
  <si>
    <t>2021-03-06</t>
  </si>
  <si>
    <t>rohit.das359@example.com</t>
  </si>
  <si>
    <t>E0360</t>
  </si>
  <si>
    <t>2021-05-28</t>
  </si>
  <si>
    <t>john.das360@example.com</t>
  </si>
  <si>
    <t>E0361</t>
  </si>
  <si>
    <t>2023-11-01</t>
  </si>
  <si>
    <t>john.dutta361@example.com</t>
  </si>
  <si>
    <t>E0362</t>
  </si>
  <si>
    <t>2024-06-01</t>
  </si>
  <si>
    <t>anita.dutta362@example.com</t>
  </si>
  <si>
    <t>E0363</t>
  </si>
  <si>
    <t>2019-04-16</t>
  </si>
  <si>
    <t>amit.dutta363@example.com</t>
  </si>
  <si>
    <t>E0364</t>
  </si>
  <si>
    <t>2019-11-16</t>
  </si>
  <si>
    <t>neha.brown364@example.com</t>
  </si>
  <si>
    <t>E0365</t>
  </si>
  <si>
    <t>2019-08-22</t>
  </si>
  <si>
    <t>neha.dutta365@example.com</t>
  </si>
  <si>
    <t>E0366</t>
  </si>
  <si>
    <t>2023-11-10</t>
  </si>
  <si>
    <t>rahul.smith366@example.com</t>
  </si>
  <si>
    <t>E0367</t>
  </si>
  <si>
    <t>2019-05-14</t>
  </si>
  <si>
    <t>sara.khan367@example.com</t>
  </si>
  <si>
    <t>E0368</t>
  </si>
  <si>
    <t>2018-06-29</t>
  </si>
  <si>
    <t>rohit.ghosh368@example.com</t>
  </si>
  <si>
    <t>E0369</t>
  </si>
  <si>
    <t>2018-07-18</t>
  </si>
  <si>
    <t>john.das369@example.com</t>
  </si>
  <si>
    <t>E0370</t>
  </si>
  <si>
    <t>2020-08-30</t>
  </si>
  <si>
    <t>priya.das370@example.com</t>
  </si>
  <si>
    <t>E0371</t>
  </si>
  <si>
    <t>2023-01-18</t>
  </si>
  <si>
    <t>neha.singh371@example.com</t>
  </si>
  <si>
    <t>E0372</t>
  </si>
  <si>
    <t>amit.das372@example.com</t>
  </si>
  <si>
    <t>E0373</t>
  </si>
  <si>
    <t>rohit.khan373@example.com</t>
  </si>
  <si>
    <t>E0374</t>
  </si>
  <si>
    <t>2020-10-07</t>
  </si>
  <si>
    <t>sara.paul374@example.com</t>
  </si>
  <si>
    <t>E0375</t>
  </si>
  <si>
    <t>2023-10-12</t>
  </si>
  <si>
    <t>amit.brown375@example.com</t>
  </si>
  <si>
    <t>E0376</t>
  </si>
  <si>
    <t>2024-09-18</t>
  </si>
  <si>
    <t>priya.dutta376@example.com</t>
  </si>
  <si>
    <t>E0377</t>
  </si>
  <si>
    <t>2024-04-26</t>
  </si>
  <si>
    <t>sara.paul377@example.com</t>
  </si>
  <si>
    <t>E0378</t>
  </si>
  <si>
    <t>2024-04-14</t>
  </si>
  <si>
    <t>priya.paul378@example.com</t>
  </si>
  <si>
    <t>E0379</t>
  </si>
  <si>
    <t>2020-03-23</t>
  </si>
  <si>
    <t>john.dutta379@example.com</t>
  </si>
  <si>
    <t>E0380</t>
  </si>
  <si>
    <t>2023-05-20</t>
  </si>
  <si>
    <t>rahul.dutta380@example.com</t>
  </si>
  <si>
    <t>E0381</t>
  </si>
  <si>
    <t>david.singh381@example.com</t>
  </si>
  <si>
    <t>E0382</t>
  </si>
  <si>
    <t>2018-02-03</t>
  </si>
  <si>
    <t>david.singh382@example.com</t>
  </si>
  <si>
    <t>E0383</t>
  </si>
  <si>
    <t>2018-07-13</t>
  </si>
  <si>
    <t>jane.das383@example.com</t>
  </si>
  <si>
    <t>E0384</t>
  </si>
  <si>
    <t>2022-02-03</t>
  </si>
  <si>
    <t>rohit.khan384@example.com</t>
  </si>
  <si>
    <t>E0385</t>
  </si>
  <si>
    <t>rohit.smith385@example.com</t>
  </si>
  <si>
    <t>E0386</t>
  </si>
  <si>
    <t>2024-04-16</t>
  </si>
  <si>
    <t>neha.dutta386@example.com</t>
  </si>
  <si>
    <t>E0387</t>
  </si>
  <si>
    <t>2021-12-10</t>
  </si>
  <si>
    <t>john.das387@example.com</t>
  </si>
  <si>
    <t>E0388</t>
  </si>
  <si>
    <t>2018-04-26</t>
  </si>
  <si>
    <t>anita.das388@example.com</t>
  </si>
  <si>
    <t>E0389</t>
  </si>
  <si>
    <t>2023-01-05</t>
  </si>
  <si>
    <t>priya.brown389@example.com</t>
  </si>
  <si>
    <t>E0390</t>
  </si>
  <si>
    <t>2023-07-12</t>
  </si>
  <si>
    <t>rohit.khan390@example.com</t>
  </si>
  <si>
    <t>E0391</t>
  </si>
  <si>
    <t>2022-09-18</t>
  </si>
  <si>
    <t>rahul.khan391@example.com</t>
  </si>
  <si>
    <t>E0392</t>
  </si>
  <si>
    <t>2018-01-22</t>
  </si>
  <si>
    <t>john.paul392@example.com</t>
  </si>
  <si>
    <t>E0393</t>
  </si>
  <si>
    <t>2023-03-21</t>
  </si>
  <si>
    <t>jane.paul393@example.com</t>
  </si>
  <si>
    <t>E0394</t>
  </si>
  <si>
    <t>2022-12-07</t>
  </si>
  <si>
    <t>sara.sen394@example.com</t>
  </si>
  <si>
    <t>E0395</t>
  </si>
  <si>
    <t>2022-01-19</t>
  </si>
  <si>
    <t>rahul.dutta395@example.com</t>
  </si>
  <si>
    <t>E0396</t>
  </si>
  <si>
    <t>2021-03-28</t>
  </si>
  <si>
    <t>rohit.brown396@example.com</t>
  </si>
  <si>
    <t>E0397</t>
  </si>
  <si>
    <t>2023-04-03</t>
  </si>
  <si>
    <t>david.das397@example.com</t>
  </si>
  <si>
    <t>E0398</t>
  </si>
  <si>
    <t>2019-06-25</t>
  </si>
  <si>
    <t>anita.brown398@example.com</t>
  </si>
  <si>
    <t>E0399</t>
  </si>
  <si>
    <t>jane.ghosh399@example.com</t>
  </si>
  <si>
    <t>E0400</t>
  </si>
  <si>
    <t>2022-01-07</t>
  </si>
  <si>
    <t>priya.das400@example.com</t>
  </si>
  <si>
    <t>E0401</t>
  </si>
  <si>
    <t>2021-10-14</t>
  </si>
  <si>
    <t>anita.roy401@example.com</t>
  </si>
  <si>
    <t>E0402</t>
  </si>
  <si>
    <t>2022-09-09</t>
  </si>
  <si>
    <t>anita.paul402@example.com</t>
  </si>
  <si>
    <t>E0403</t>
  </si>
  <si>
    <t>2020-05-12</t>
  </si>
  <si>
    <t>anita.brown403@example.com</t>
  </si>
  <si>
    <t>E0404</t>
  </si>
  <si>
    <t>2023-10-02</t>
  </si>
  <si>
    <t>jane.dutta404@example.com</t>
  </si>
  <si>
    <t>E0405</t>
  </si>
  <si>
    <t>2023-10-05</t>
  </si>
  <si>
    <t>priya.smith405@example.com</t>
  </si>
  <si>
    <t>E0406</t>
  </si>
  <si>
    <t>2023-02-02</t>
  </si>
  <si>
    <t>neha.roy406@example.com</t>
  </si>
  <si>
    <t>E0407</t>
  </si>
  <si>
    <t>2023-04-24</t>
  </si>
  <si>
    <t>rohit.smith407@example.com</t>
  </si>
  <si>
    <t>E0408</t>
  </si>
  <si>
    <t>2022-10-24</t>
  </si>
  <si>
    <t>anita.singh408@example.com</t>
  </si>
  <si>
    <t>E0409</t>
  </si>
  <si>
    <t>2024-03-04</t>
  </si>
  <si>
    <t>rahul.brown409@example.com</t>
  </si>
  <si>
    <t>E0410</t>
  </si>
  <si>
    <t>2019-01-01</t>
  </si>
  <si>
    <t>anita.paul410@example.com</t>
  </si>
  <si>
    <t>E0411</t>
  </si>
  <si>
    <t>2024-08-12</t>
  </si>
  <si>
    <t>david.khan411@example.com</t>
  </si>
  <si>
    <t>E0412</t>
  </si>
  <si>
    <t>2022-12-10</t>
  </si>
  <si>
    <t>amit.ghosh412@example.com</t>
  </si>
  <si>
    <t>E0413</t>
  </si>
  <si>
    <t>2018-09-18</t>
  </si>
  <si>
    <t>john.dutta413@example.com</t>
  </si>
  <si>
    <t>E0414</t>
  </si>
  <si>
    <t>2024-01-31</t>
  </si>
  <si>
    <t>john.ghosh414@example.com</t>
  </si>
  <si>
    <t>E0415</t>
  </si>
  <si>
    <t>2021-05-19</t>
  </si>
  <si>
    <t>sara.dutta415@example.com</t>
  </si>
  <si>
    <t>E0416</t>
  </si>
  <si>
    <t>2024-05-14</t>
  </si>
  <si>
    <t>sara.brown416@example.com</t>
  </si>
  <si>
    <t>E0417</t>
  </si>
  <si>
    <t>2021-07-14</t>
  </si>
  <si>
    <t>rohit.sen417@example.com</t>
  </si>
  <si>
    <t>E0418</t>
  </si>
  <si>
    <t>2018-02-27</t>
  </si>
  <si>
    <t>jane.sen418@example.com</t>
  </si>
  <si>
    <t>E0419</t>
  </si>
  <si>
    <t>2020-12-06</t>
  </si>
  <si>
    <t>priya.khan419@example.com</t>
  </si>
  <si>
    <t>E0420</t>
  </si>
  <si>
    <t>2024-09-27</t>
  </si>
  <si>
    <t>amit.das420@example.com</t>
  </si>
  <si>
    <t>E0421</t>
  </si>
  <si>
    <t>2020-05-30</t>
  </si>
  <si>
    <t>anita.singh421@example.com</t>
  </si>
  <si>
    <t>E0422</t>
  </si>
  <si>
    <t>2018-12-12</t>
  </si>
  <si>
    <t>rohit.paul422@example.com</t>
  </si>
  <si>
    <t>E0423</t>
  </si>
  <si>
    <t>2024-07-07</t>
  </si>
  <si>
    <t>david.singh423@example.com</t>
  </si>
  <si>
    <t>E0424</t>
  </si>
  <si>
    <t>2019-06-29</t>
  </si>
  <si>
    <t>amit.singh424@example.com</t>
  </si>
  <si>
    <t>E0425</t>
  </si>
  <si>
    <t>2019-07-26</t>
  </si>
  <si>
    <t>john.singh425@example.com</t>
  </si>
  <si>
    <t>E0426</t>
  </si>
  <si>
    <t>2022-04-17</t>
  </si>
  <si>
    <t>anita.paul426@example.com</t>
  </si>
  <si>
    <t>E0427</t>
  </si>
  <si>
    <t>2021-03-18</t>
  </si>
  <si>
    <t>priya.dutta427@example.com</t>
  </si>
  <si>
    <t>E0428</t>
  </si>
  <si>
    <t>rohit.singh428@example.com</t>
  </si>
  <si>
    <t>E0429</t>
  </si>
  <si>
    <t>anita.sen429@example.com</t>
  </si>
  <si>
    <t>E0430</t>
  </si>
  <si>
    <t>2021-09-13</t>
  </si>
  <si>
    <t>amit.paul430@example.com</t>
  </si>
  <si>
    <t>E0431</t>
  </si>
  <si>
    <t>2024-02-26</t>
  </si>
  <si>
    <t>rahul.das431@example.com</t>
  </si>
  <si>
    <t>E0432</t>
  </si>
  <si>
    <t>2024-02-05</t>
  </si>
  <si>
    <t>priya.ghosh432@example.com</t>
  </si>
  <si>
    <t>E0433</t>
  </si>
  <si>
    <t>2023-02-19</t>
  </si>
  <si>
    <t>david.ghosh433@example.com</t>
  </si>
  <si>
    <t>E0434</t>
  </si>
  <si>
    <t>2024-04-01</t>
  </si>
  <si>
    <t>jane.das434@example.com</t>
  </si>
  <si>
    <t>E0435</t>
  </si>
  <si>
    <t>rahul.ghosh435@example.com</t>
  </si>
  <si>
    <t>E0436</t>
  </si>
  <si>
    <t>neha.paul436@example.com</t>
  </si>
  <si>
    <t>E0437</t>
  </si>
  <si>
    <t>2019-01-21</t>
  </si>
  <si>
    <t>amit.smith437@example.com</t>
  </si>
  <si>
    <t>E0438</t>
  </si>
  <si>
    <t>2021-12-25</t>
  </si>
  <si>
    <t>priya.das438@example.com</t>
  </si>
  <si>
    <t>E0439</t>
  </si>
  <si>
    <t>2019-01-16</t>
  </si>
  <si>
    <t>david.sen439@example.com</t>
  </si>
  <si>
    <t>E0440</t>
  </si>
  <si>
    <t>priya.sen440@example.com</t>
  </si>
  <si>
    <t>E0441</t>
  </si>
  <si>
    <t>2020-07-11</t>
  </si>
  <si>
    <t>john.brown441@example.com</t>
  </si>
  <si>
    <t>E0442</t>
  </si>
  <si>
    <t>2022-05-26</t>
  </si>
  <si>
    <t>jane.singh442@example.com</t>
  </si>
  <si>
    <t>E0443</t>
  </si>
  <si>
    <t>2024-01-04</t>
  </si>
  <si>
    <t>anita.brown443@example.com</t>
  </si>
  <si>
    <t>E0444</t>
  </si>
  <si>
    <t>2022-08-21</t>
  </si>
  <si>
    <t>jane.dutta444@example.com</t>
  </si>
  <si>
    <t>E0445</t>
  </si>
  <si>
    <t>2018-01-09</t>
  </si>
  <si>
    <t>amit.roy445@example.com</t>
  </si>
  <si>
    <t>E0446</t>
  </si>
  <si>
    <t>2021-07-07</t>
  </si>
  <si>
    <t>sara.khan446@example.com</t>
  </si>
  <si>
    <t>E0447</t>
  </si>
  <si>
    <t>2021-08-12</t>
  </si>
  <si>
    <t>neha.smith447@example.com</t>
  </si>
  <si>
    <t>E0448</t>
  </si>
  <si>
    <t>2024-05-25</t>
  </si>
  <si>
    <t>priya.das448@example.com</t>
  </si>
  <si>
    <t>E0449</t>
  </si>
  <si>
    <t>2019-08-17</t>
  </si>
  <si>
    <t>amit.ghosh449@example.com</t>
  </si>
  <si>
    <t>E0450</t>
  </si>
  <si>
    <t>2020-08-21</t>
  </si>
  <si>
    <t>rahul.khan450@example.com</t>
  </si>
  <si>
    <t>E0451</t>
  </si>
  <si>
    <t>2020-01-26</t>
  </si>
  <si>
    <t>anita.brown451@example.com</t>
  </si>
  <si>
    <t>E0452</t>
  </si>
  <si>
    <t>2024-04-20</t>
  </si>
  <si>
    <t>rahul.roy452@example.com</t>
  </si>
  <si>
    <t>E0453</t>
  </si>
  <si>
    <t>2022-11-15</t>
  </si>
  <si>
    <t>david.das453@example.com</t>
  </si>
  <si>
    <t>E0454</t>
  </si>
  <si>
    <t>2022-11-12</t>
  </si>
  <si>
    <t>rohit.paul454@example.com</t>
  </si>
  <si>
    <t>E0455</t>
  </si>
  <si>
    <t>2023-08-11</t>
  </si>
  <si>
    <t>neha.dutta455@example.com</t>
  </si>
  <si>
    <t>E0456</t>
  </si>
  <si>
    <t>2024-03-13</t>
  </si>
  <si>
    <t>neha.khan456@example.com</t>
  </si>
  <si>
    <t>E0457</t>
  </si>
  <si>
    <t>2022-02-11</t>
  </si>
  <si>
    <t>jane.brown457@example.com</t>
  </si>
  <si>
    <t>E0458</t>
  </si>
  <si>
    <t>2019-04-04</t>
  </si>
  <si>
    <t>david.khan458@example.com</t>
  </si>
  <si>
    <t>E0459</t>
  </si>
  <si>
    <t>2019-03-28</t>
  </si>
  <si>
    <t>sara.dutta459@example.com</t>
  </si>
  <si>
    <t>E0460</t>
  </si>
  <si>
    <t>rohit.ghosh460@example.com</t>
  </si>
  <si>
    <t>E0461</t>
  </si>
  <si>
    <t>2024-02-28</t>
  </si>
  <si>
    <t>priya.paul461@example.com</t>
  </si>
  <si>
    <t>E0462</t>
  </si>
  <si>
    <t>2023-05-27</t>
  </si>
  <si>
    <t>neha.paul462@example.com</t>
  </si>
  <si>
    <t>E0463</t>
  </si>
  <si>
    <t>2024-07-01</t>
  </si>
  <si>
    <t>david.smith463@example.com</t>
  </si>
  <si>
    <t>E0464</t>
  </si>
  <si>
    <t>2022-04-02</t>
  </si>
  <si>
    <t>jane.brown464@example.com</t>
  </si>
  <si>
    <t>E0465</t>
  </si>
  <si>
    <t>2020-05-10</t>
  </si>
  <si>
    <t>amit.sen465@example.com</t>
  </si>
  <si>
    <t>E0466</t>
  </si>
  <si>
    <t>2023-03-29</t>
  </si>
  <si>
    <t>rohit.smith466@example.com</t>
  </si>
  <si>
    <t>E0467</t>
  </si>
  <si>
    <t>2023-07-28</t>
  </si>
  <si>
    <t>rohit.paul467@example.com</t>
  </si>
  <si>
    <t>E0468</t>
  </si>
  <si>
    <t>2023-01-27</t>
  </si>
  <si>
    <t>rohit.sen468@example.com</t>
  </si>
  <si>
    <t>E0469</t>
  </si>
  <si>
    <t>2024-10-25</t>
  </si>
  <si>
    <t>rahul.dutta469@example.com</t>
  </si>
  <si>
    <t>E0470</t>
  </si>
  <si>
    <t>2018-11-15</t>
  </si>
  <si>
    <t>priya.singh470@example.com</t>
  </si>
  <si>
    <t>E0471</t>
  </si>
  <si>
    <t>john.khan471@example.com</t>
  </si>
  <si>
    <t>E0472</t>
  </si>
  <si>
    <t>2018-06-01</t>
  </si>
  <si>
    <t>anita.roy472@example.com</t>
  </si>
  <si>
    <t>E0473</t>
  </si>
  <si>
    <t>rahul.ghosh473@example.com</t>
  </si>
  <si>
    <t>E0474</t>
  </si>
  <si>
    <t>2020-02-03</t>
  </si>
  <si>
    <t>rohit.brown474@example.com</t>
  </si>
  <si>
    <t>E0475</t>
  </si>
  <si>
    <t>anita.paul475@example.com</t>
  </si>
  <si>
    <t>E0476</t>
  </si>
  <si>
    <t>2018-04-28</t>
  </si>
  <si>
    <t>amit.paul476@example.com</t>
  </si>
  <si>
    <t>E0477</t>
  </si>
  <si>
    <t>2019-10-19</t>
  </si>
  <si>
    <t>neha.smith477@example.com</t>
  </si>
  <si>
    <t>E0478</t>
  </si>
  <si>
    <t>jane.das478@example.com</t>
  </si>
  <si>
    <t>E0479</t>
  </si>
  <si>
    <t>2024-01-05</t>
  </si>
  <si>
    <t>sara.roy479@example.com</t>
  </si>
  <si>
    <t>E0480</t>
  </si>
  <si>
    <t>2023-02-06</t>
  </si>
  <si>
    <t>rahul.brown480@example.com</t>
  </si>
  <si>
    <t>E0481</t>
  </si>
  <si>
    <t>2022-09-13</t>
  </si>
  <si>
    <t>rahul.singh481@example.com</t>
  </si>
  <si>
    <t>E0482</t>
  </si>
  <si>
    <t>2021-11-03</t>
  </si>
  <si>
    <t>amit.sen482@example.com</t>
  </si>
  <si>
    <t>E0483</t>
  </si>
  <si>
    <t>2020-12-31</t>
  </si>
  <si>
    <t>david.ghosh483@example.com</t>
  </si>
  <si>
    <t>E0484</t>
  </si>
  <si>
    <t>2024-10-29</t>
  </si>
  <si>
    <t>neha.ghosh484@example.com</t>
  </si>
  <si>
    <t>E0485</t>
  </si>
  <si>
    <t>2021-07-29</t>
  </si>
  <si>
    <t>john.ghosh485@example.com</t>
  </si>
  <si>
    <t>E0486</t>
  </si>
  <si>
    <t>2022-06-28</t>
  </si>
  <si>
    <t>priya.singh486@example.com</t>
  </si>
  <si>
    <t>E0487</t>
  </si>
  <si>
    <t>2018-10-05</t>
  </si>
  <si>
    <t>david.dutta487@example.com</t>
  </si>
  <si>
    <t>E0488</t>
  </si>
  <si>
    <t>2020-07-19</t>
  </si>
  <si>
    <t>anita.singh488@example.com</t>
  </si>
  <si>
    <t>E0489</t>
  </si>
  <si>
    <t>priya.smith489@example.com</t>
  </si>
  <si>
    <t>E0490</t>
  </si>
  <si>
    <t>2019-03-21</t>
  </si>
  <si>
    <t>anita.das490@example.com</t>
  </si>
  <si>
    <t>E0491</t>
  </si>
  <si>
    <t>neha.dutta491@example.com</t>
  </si>
  <si>
    <t>E0492</t>
  </si>
  <si>
    <t>2019-03-20</t>
  </si>
  <si>
    <t>david.ghosh492@example.com</t>
  </si>
  <si>
    <t>E0493</t>
  </si>
  <si>
    <t>rahul.ghosh493@example.com</t>
  </si>
  <si>
    <t>E0494</t>
  </si>
  <si>
    <t>2020-06-09</t>
  </si>
  <si>
    <t>jane.das494@example.com</t>
  </si>
  <si>
    <t>E0495</t>
  </si>
  <si>
    <t>2018-04-21</t>
  </si>
  <si>
    <t>john.sen495@example.com</t>
  </si>
  <si>
    <t>E0496</t>
  </si>
  <si>
    <t>2018-02-25</t>
  </si>
  <si>
    <t>rahul.ghosh496@example.com</t>
  </si>
  <si>
    <t>E0497</t>
  </si>
  <si>
    <t>2024-06-14</t>
  </si>
  <si>
    <t>john.brown497@example.com</t>
  </si>
  <si>
    <t>E0498</t>
  </si>
  <si>
    <t>2024-10-15</t>
  </si>
  <si>
    <t>priya.singh498@example.com</t>
  </si>
  <si>
    <t>E0499</t>
  </si>
  <si>
    <t>2020-11-16</t>
  </si>
  <si>
    <t>david.sen499@example.com</t>
  </si>
  <si>
    <t>E0500</t>
  </si>
  <si>
    <t>2021-01-15</t>
  </si>
  <si>
    <t>david.singh500@example.com</t>
  </si>
  <si>
    <t>HR</t>
  </si>
  <si>
    <t>Alice</t>
  </si>
  <si>
    <t>Finance</t>
  </si>
  <si>
    <t>Bob</t>
  </si>
  <si>
    <t>IT</t>
  </si>
  <si>
    <t>Carol</t>
  </si>
  <si>
    <t>Sales</t>
  </si>
  <si>
    <t>Dan</t>
  </si>
  <si>
    <t>Marketing</t>
  </si>
  <si>
    <t>Eva</t>
  </si>
  <si>
    <t>EmployeeID</t>
  </si>
  <si>
    <t>ReviewYear</t>
  </si>
  <si>
    <t>Rating</t>
  </si>
  <si>
    <t>TrainingHours</t>
  </si>
  <si>
    <t>ProjectsCompleted</t>
  </si>
  <si>
    <t>FirstName</t>
  </si>
  <si>
    <t>LastName</t>
  </si>
  <si>
    <t>Gender</t>
  </si>
  <si>
    <t>Age</t>
  </si>
  <si>
    <t>DepartmentID</t>
  </si>
  <si>
    <t>JobTitle</t>
  </si>
  <si>
    <t>HireDate</t>
  </si>
  <si>
    <t>Salary</t>
  </si>
  <si>
    <t>Email</t>
  </si>
  <si>
    <t>Status</t>
  </si>
  <si>
    <t>Full Name</t>
  </si>
  <si>
    <t>Number of Female employee</t>
  </si>
  <si>
    <t>AMIT DUTTA</t>
  </si>
  <si>
    <t>JANE SINGH</t>
  </si>
  <si>
    <t>NEHA SINGH</t>
  </si>
  <si>
    <t>NEHA KHAN</t>
  </si>
  <si>
    <t>DAVID KHAN</t>
  </si>
  <si>
    <t>ANITA SEN</t>
  </si>
  <si>
    <t>NEHA GHOSH</t>
  </si>
  <si>
    <t>PRIYA DAS</t>
  </si>
  <si>
    <t>SARA ROY</t>
  </si>
  <si>
    <t>DAVID SMITH</t>
  </si>
  <si>
    <t>ANITA DUTTA</t>
  </si>
  <si>
    <t>SARA KHAN</t>
  </si>
  <si>
    <t>PRIYA DUTTA</t>
  </si>
  <si>
    <t>JANE DUTTA</t>
  </si>
  <si>
    <t>JOHN DUTTA</t>
  </si>
  <si>
    <t>AMIT DAS</t>
  </si>
  <si>
    <t>AMIT SINGH</t>
  </si>
  <si>
    <t>Maneger</t>
  </si>
  <si>
    <t>DepartmentName</t>
  </si>
  <si>
    <t>1. create a full name column of the employee beside/after last name column using text formula.</t>
  </si>
  <si>
    <t>2. using text func find the full name of the emplloyee in uppercase letter.</t>
  </si>
  <si>
    <t>3. count the number of femal employees.</t>
  </si>
  <si>
    <t>4. filter the employees of the kolkata city &amp; job title list should analyst and place the filter data to another place.</t>
  </si>
  <si>
    <t>5. highlight the active employees records.</t>
  </si>
  <si>
    <t>7. create a column : manager in empoyee worksheet using and fetch the records of the dept worksheet using index and match.</t>
  </si>
  <si>
    <t>6. creat a column dept : name in employees workheet and fetch the records from the dept worksheets ( using vlookup formula 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</si>
</sst>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8"/>
      <color rgb="FFF6FAFE"/>
      <name val="Segoe UI"/>
      <family val="2"/>
    </font>
    <font>
      <sz val="11"/>
      <color theme="1"/>
      <name val="Segoe UI"/>
      <family val="2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theme="4"/>
      </patternFill>
    </fill>
    <fill>
      <patternFill patternType="solid">
        <fgColor theme="0"/>
        <bgColor theme="4" tint="0.59999389629810485"/>
      </patternFill>
    </fill>
    <fill>
      <patternFill patternType="solid">
        <fgColor theme="0"/>
        <bgColor theme="4" tint="0.79998168889431442"/>
      </patternFill>
    </fill>
    <fill>
      <patternFill patternType="solid">
        <fgColor rgb="FFFFFF00"/>
        <bgColor theme="4" tint="0.59999389629810485"/>
      </patternFill>
    </fill>
    <fill>
      <patternFill patternType="solid">
        <fgColor rgb="FF92D050"/>
        <bgColor theme="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theme="4"/>
      </patternFill>
    </fill>
    <fill>
      <patternFill patternType="solid">
        <fgColor theme="7"/>
        <bgColor theme="4"/>
      </patternFill>
    </fill>
    <fill>
      <patternFill patternType="solid">
        <fgColor theme="7"/>
        <bgColor indexed="64"/>
      </patternFill>
    </fill>
    <fill>
      <patternFill patternType="solid">
        <fgColor rgb="FFFF9999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theme="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Border="1"/>
    <xf numFmtId="0" fontId="0" fillId="0" borderId="1" xfId="0" applyFont="1" applyBorder="1"/>
    <xf numFmtId="0" fontId="2" fillId="3" borderId="1" xfId="0" applyFont="1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2" fillId="7" borderId="1" xfId="0" applyFont="1" applyFill="1" applyBorder="1"/>
    <xf numFmtId="0" fontId="0" fillId="8" borderId="1" xfId="0" applyFill="1" applyBorder="1"/>
    <xf numFmtId="0" fontId="2" fillId="9" borderId="1" xfId="0" applyFont="1" applyFill="1" applyBorder="1"/>
    <xf numFmtId="0" fontId="2" fillId="10" borderId="1" xfId="0" applyFont="1" applyFill="1" applyBorder="1"/>
    <xf numFmtId="0" fontId="0" fillId="11" borderId="1" xfId="0" applyFill="1" applyBorder="1"/>
    <xf numFmtId="0" fontId="3" fillId="0" borderId="0" xfId="0" applyFont="1"/>
    <xf numFmtId="0" fontId="0" fillId="0" borderId="0" xfId="0" applyFont="1" applyAlignment="1"/>
    <xf numFmtId="0" fontId="4" fillId="2" borderId="2" xfId="0" applyFont="1" applyFill="1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0" fillId="2" borderId="3" xfId="0" applyFill="1" applyBorder="1"/>
    <xf numFmtId="0" fontId="4" fillId="2" borderId="5" xfId="0" applyFont="1" applyFill="1" applyBorder="1"/>
    <xf numFmtId="0" fontId="0" fillId="2" borderId="0" xfId="0" applyFill="1" applyBorder="1"/>
    <xf numFmtId="0" fontId="4" fillId="12" borderId="5" xfId="0" applyFont="1" applyFill="1" applyBorder="1"/>
    <xf numFmtId="0" fontId="0" fillId="12" borderId="0" xfId="0" applyFill="1" applyBorder="1"/>
    <xf numFmtId="0" fontId="4" fillId="13" borderId="5" xfId="0" applyFont="1" applyFill="1" applyBorder="1"/>
    <xf numFmtId="0" fontId="0" fillId="13" borderId="0" xfId="0" applyFill="1" applyBorder="1"/>
    <xf numFmtId="0" fontId="0" fillId="13" borderId="6" xfId="0" applyFill="1" applyBorder="1"/>
    <xf numFmtId="0" fontId="4" fillId="14" borderId="7" xfId="0" applyFont="1" applyFill="1" applyBorder="1"/>
    <xf numFmtId="0" fontId="0" fillId="14" borderId="8" xfId="0" applyFill="1" applyBorder="1"/>
    <xf numFmtId="0" fontId="0" fillId="14" borderId="9" xfId="0" applyFill="1" applyBorder="1"/>
    <xf numFmtId="0" fontId="4" fillId="15" borderId="5" xfId="0" applyFont="1" applyFill="1" applyBorder="1"/>
    <xf numFmtId="0" fontId="0" fillId="15" borderId="0" xfId="0" applyFill="1" applyBorder="1"/>
    <xf numFmtId="0" fontId="4" fillId="16" borderId="5" xfId="0" applyFont="1" applyFill="1" applyBorder="1"/>
    <xf numFmtId="0" fontId="0" fillId="16" borderId="0" xfId="0" applyFill="1" applyBorder="1"/>
    <xf numFmtId="0" fontId="2" fillId="17" borderId="1" xfId="0" applyFont="1" applyFill="1" applyBorder="1"/>
    <xf numFmtId="0" fontId="0" fillId="15" borderId="1" xfId="0" applyFill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powerPivotData" Target="model/item.data"/><Relationship Id="rId5" Type="http://schemas.openxmlformats.org/officeDocument/2006/relationships/externalLink" Target="externalLinks/externalLink1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mirs\Downloads\HR_Dataset.xlsx" TargetMode="External"/><Relationship Id="rId1" Type="http://schemas.openxmlformats.org/officeDocument/2006/relationships/externalLinkPath" Target="HR_Datase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Employees"/>
      <sheetName val="Departments"/>
      <sheetName val="Performance"/>
      <sheetName val="HR_Dataset"/>
    </sheetNames>
    <definedNames>
      <definedName name="Table1"/>
      <definedName name="Table2"/>
    </definedNames>
    <sheetDataSet>
      <sheetData sheetId="0" refreshError="1"/>
      <sheetData sheetId="1"/>
      <sheetData sheetId="2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B00F97-C0FB-443F-B0B4-2ED793A2A822}">
  <dimension ref="A1:Q501"/>
  <sheetViews>
    <sheetView topLeftCell="C1" workbookViewId="0">
      <selection activeCell="F17" sqref="F17"/>
    </sheetView>
  </sheetViews>
  <sheetFormatPr defaultRowHeight="14.5" x14ac:dyDescent="0.35"/>
  <cols>
    <col min="4" max="4" width="11.6328125" bestFit="1" customWidth="1"/>
    <col min="5" max="5" width="12.26953125" bestFit="1" customWidth="1"/>
    <col min="6" max="6" width="15.54296875" bestFit="1" customWidth="1"/>
    <col min="7" max="7" width="15.453125" bestFit="1" customWidth="1"/>
    <col min="9" max="9" width="9.1796875" bestFit="1" customWidth="1"/>
    <col min="11" max="11" width="10.08984375" bestFit="1" customWidth="1"/>
    <col min="15" max="15" width="15.54296875" bestFit="1" customWidth="1"/>
    <col min="16" max="16" width="15.453125" bestFit="1" customWidth="1"/>
  </cols>
  <sheetData>
    <row r="1" spans="1:1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7" x14ac:dyDescent="0.35">
      <c r="A2" s="2">
        <v>10001</v>
      </c>
      <c r="B2" s="2">
        <v>1102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16</v>
      </c>
      <c r="H2" s="2" t="s">
        <v>17</v>
      </c>
      <c r="I2" s="2">
        <v>7</v>
      </c>
      <c r="J2" s="2">
        <v>2843.87</v>
      </c>
      <c r="K2" s="2">
        <v>0</v>
      </c>
      <c r="L2" s="2">
        <v>19907.09</v>
      </c>
      <c r="N2" s="1" t="s">
        <v>43</v>
      </c>
      <c r="O2" s="1" t="s">
        <v>44</v>
      </c>
    </row>
    <row r="3" spans="1:17" x14ac:dyDescent="0.35">
      <c r="A3" s="2">
        <v>10002</v>
      </c>
      <c r="B3" s="2">
        <v>1435</v>
      </c>
      <c r="C3" s="2" t="s">
        <v>18</v>
      </c>
      <c r="D3" s="2" t="s">
        <v>19</v>
      </c>
      <c r="E3" s="2" t="s">
        <v>20</v>
      </c>
      <c r="F3" s="2" t="s">
        <v>21</v>
      </c>
      <c r="G3" s="2" t="s">
        <v>22</v>
      </c>
      <c r="H3" s="2" t="s">
        <v>23</v>
      </c>
      <c r="I3" s="2">
        <v>9</v>
      </c>
      <c r="J3" s="2">
        <v>2525.23</v>
      </c>
      <c r="K3" s="2">
        <v>5</v>
      </c>
      <c r="L3" s="2">
        <v>21590.720000000001</v>
      </c>
      <c r="N3" s="2">
        <v>10</v>
      </c>
      <c r="O3" s="2" cm="1">
        <f t="array" ref="O3">INDEX(A1:A501,N3)</f>
        <v>10009</v>
      </c>
    </row>
    <row r="4" spans="1:17" x14ac:dyDescent="0.35">
      <c r="A4" s="2">
        <v>10003</v>
      </c>
      <c r="B4" s="2">
        <v>1860</v>
      </c>
      <c r="C4" s="2" t="s">
        <v>12</v>
      </c>
      <c r="D4" s="2" t="s">
        <v>24</v>
      </c>
      <c r="E4" s="2" t="s">
        <v>25</v>
      </c>
      <c r="F4" s="2" t="s">
        <v>21</v>
      </c>
      <c r="G4" s="2" t="s">
        <v>26</v>
      </c>
      <c r="H4" s="2" t="s">
        <v>27</v>
      </c>
      <c r="I4" s="2">
        <v>6</v>
      </c>
      <c r="J4" s="2">
        <v>3474.34</v>
      </c>
      <c r="K4" s="2">
        <v>15</v>
      </c>
      <c r="L4" s="2">
        <v>17719.13</v>
      </c>
    </row>
    <row r="5" spans="1:17" x14ac:dyDescent="0.35">
      <c r="A5" s="2">
        <v>10004</v>
      </c>
      <c r="B5" s="2">
        <v>1270</v>
      </c>
      <c r="C5" s="2" t="s">
        <v>28</v>
      </c>
      <c r="D5" s="2" t="s">
        <v>24</v>
      </c>
      <c r="E5" s="2" t="s">
        <v>20</v>
      </c>
      <c r="F5" s="2" t="s">
        <v>29</v>
      </c>
      <c r="G5" s="2" t="s">
        <v>22</v>
      </c>
      <c r="H5" s="2" t="s">
        <v>17</v>
      </c>
      <c r="I5" s="2">
        <v>1</v>
      </c>
      <c r="J5" s="2">
        <v>1008.79</v>
      </c>
      <c r="K5" s="2">
        <v>15</v>
      </c>
      <c r="L5" s="2">
        <v>857.47</v>
      </c>
      <c r="N5" s="1" t="s">
        <v>43</v>
      </c>
      <c r="O5" s="1" t="s">
        <v>44</v>
      </c>
    </row>
    <row r="6" spans="1:17" x14ac:dyDescent="0.35">
      <c r="A6" s="2">
        <v>10005</v>
      </c>
      <c r="B6" s="2">
        <v>1106</v>
      </c>
      <c r="C6" s="2" t="s">
        <v>30</v>
      </c>
      <c r="D6" s="2" t="s">
        <v>31</v>
      </c>
      <c r="E6" s="2" t="s">
        <v>25</v>
      </c>
      <c r="F6" s="2" t="s">
        <v>15</v>
      </c>
      <c r="G6" s="2" t="s">
        <v>26</v>
      </c>
      <c r="H6" s="2" t="s">
        <v>17</v>
      </c>
      <c r="I6" s="2">
        <v>7</v>
      </c>
      <c r="J6" s="2">
        <v>3511.47</v>
      </c>
      <c r="K6" s="2">
        <v>20</v>
      </c>
      <c r="L6" s="2">
        <v>19664.23</v>
      </c>
      <c r="N6" s="2">
        <v>5</v>
      </c>
      <c r="O6" s="2" t="str" cm="1">
        <f t="array" ref="O6">INDEX(A1:L1,,N6)</f>
        <v>Sales Channel</v>
      </c>
    </row>
    <row r="7" spans="1:17" x14ac:dyDescent="0.35">
      <c r="A7" s="2">
        <v>10006</v>
      </c>
      <c r="B7" s="2">
        <v>1071</v>
      </c>
      <c r="C7" s="2" t="s">
        <v>32</v>
      </c>
      <c r="D7" s="2" t="s">
        <v>33</v>
      </c>
      <c r="E7" s="2" t="s">
        <v>20</v>
      </c>
      <c r="F7" s="2" t="s">
        <v>34</v>
      </c>
      <c r="G7" s="2" t="s">
        <v>16</v>
      </c>
      <c r="H7" s="2" t="s">
        <v>27</v>
      </c>
      <c r="I7" s="2">
        <v>3</v>
      </c>
      <c r="J7" s="2">
        <v>3189.55</v>
      </c>
      <c r="K7" s="2">
        <v>10</v>
      </c>
      <c r="L7" s="2">
        <v>8611.7800000000007</v>
      </c>
    </row>
    <row r="8" spans="1:17" x14ac:dyDescent="0.35">
      <c r="A8" s="2">
        <v>10007</v>
      </c>
      <c r="B8" s="2">
        <v>1700</v>
      </c>
      <c r="C8" s="2" t="s">
        <v>28</v>
      </c>
      <c r="D8" s="2" t="s">
        <v>33</v>
      </c>
      <c r="E8" s="2" t="s">
        <v>14</v>
      </c>
      <c r="F8" s="2" t="s">
        <v>35</v>
      </c>
      <c r="G8" s="2" t="s">
        <v>26</v>
      </c>
      <c r="H8" s="2" t="s">
        <v>36</v>
      </c>
      <c r="I8" s="2">
        <v>5</v>
      </c>
      <c r="J8" s="2">
        <v>3030.42</v>
      </c>
      <c r="K8" s="2">
        <v>10</v>
      </c>
      <c r="L8" s="2">
        <v>13636.89</v>
      </c>
      <c r="N8" s="1" t="s">
        <v>45</v>
      </c>
      <c r="O8" s="1" t="s">
        <v>46</v>
      </c>
      <c r="P8" s="1" t="s">
        <v>44</v>
      </c>
    </row>
    <row r="9" spans="1:17" x14ac:dyDescent="0.35">
      <c r="A9" s="2">
        <v>10008</v>
      </c>
      <c r="B9" s="2">
        <v>1020</v>
      </c>
      <c r="C9" s="2" t="s">
        <v>37</v>
      </c>
      <c r="D9" s="2" t="s">
        <v>13</v>
      </c>
      <c r="E9" s="2" t="s">
        <v>20</v>
      </c>
      <c r="F9" s="2" t="s">
        <v>15</v>
      </c>
      <c r="G9" s="2" t="s">
        <v>26</v>
      </c>
      <c r="H9" s="2" t="s">
        <v>38</v>
      </c>
      <c r="I9" s="2">
        <v>4</v>
      </c>
      <c r="J9" s="2">
        <v>2310.83</v>
      </c>
      <c r="K9" s="2">
        <v>10</v>
      </c>
      <c r="L9" s="2">
        <v>8318.99</v>
      </c>
      <c r="N9" s="2">
        <v>3</v>
      </c>
      <c r="O9" s="2">
        <v>4</v>
      </c>
      <c r="P9" s="2" t="str" cm="1">
        <f t="array" ref="P9">INDEX(A1:L501,N9,O9)</f>
        <v>Tamil Nadu</v>
      </c>
    </row>
    <row r="10" spans="1:17" x14ac:dyDescent="0.35">
      <c r="A10" s="2">
        <v>10009</v>
      </c>
      <c r="B10" s="2">
        <v>1614</v>
      </c>
      <c r="C10" s="2" t="s">
        <v>12</v>
      </c>
      <c r="D10" s="2" t="s">
        <v>24</v>
      </c>
      <c r="E10" s="2" t="s">
        <v>20</v>
      </c>
      <c r="F10" s="2" t="s">
        <v>21</v>
      </c>
      <c r="G10" s="2" t="s">
        <v>26</v>
      </c>
      <c r="H10" s="2" t="s">
        <v>23</v>
      </c>
      <c r="I10" s="2">
        <v>5</v>
      </c>
      <c r="J10" s="2">
        <v>1098.04</v>
      </c>
      <c r="K10" s="2">
        <v>15</v>
      </c>
      <c r="L10" s="2">
        <v>4666.67</v>
      </c>
    </row>
    <row r="11" spans="1:17" x14ac:dyDescent="0.35">
      <c r="A11" s="2">
        <v>10010</v>
      </c>
      <c r="B11" s="2">
        <v>1121</v>
      </c>
      <c r="C11" s="2" t="s">
        <v>28</v>
      </c>
      <c r="D11" s="2" t="s">
        <v>31</v>
      </c>
      <c r="E11" s="2" t="s">
        <v>20</v>
      </c>
      <c r="F11" s="2" t="s">
        <v>29</v>
      </c>
      <c r="G11" s="2" t="s">
        <v>39</v>
      </c>
      <c r="H11" s="2" t="s">
        <v>38</v>
      </c>
      <c r="I11" s="2">
        <v>5</v>
      </c>
      <c r="J11" s="2">
        <v>1780.66</v>
      </c>
      <c r="K11" s="2">
        <v>20</v>
      </c>
      <c r="L11" s="2">
        <v>7122.64</v>
      </c>
      <c r="N11" s="1" t="s">
        <v>47</v>
      </c>
      <c r="O11" s="1" t="s">
        <v>48</v>
      </c>
    </row>
    <row r="12" spans="1:17" x14ac:dyDescent="0.35">
      <c r="A12" s="2">
        <v>10011</v>
      </c>
      <c r="B12" s="2">
        <v>1466</v>
      </c>
      <c r="C12" s="2" t="s">
        <v>28</v>
      </c>
      <c r="D12" s="2" t="s">
        <v>31</v>
      </c>
      <c r="E12" s="2" t="s">
        <v>14</v>
      </c>
      <c r="F12" s="2" t="s">
        <v>29</v>
      </c>
      <c r="G12" s="2" t="s">
        <v>39</v>
      </c>
      <c r="H12" s="2" t="s">
        <v>27</v>
      </c>
      <c r="I12" s="2">
        <v>6</v>
      </c>
      <c r="J12" s="2">
        <v>3205.25</v>
      </c>
      <c r="K12" s="2">
        <v>0</v>
      </c>
      <c r="L12" s="2">
        <v>19231.5</v>
      </c>
      <c r="N12" s="4" t="s">
        <v>9</v>
      </c>
      <c r="O12" s="2">
        <f>MATCH(N12,A1:L1,0)</f>
        <v>10</v>
      </c>
    </row>
    <row r="13" spans="1:17" x14ac:dyDescent="0.35">
      <c r="A13" s="2">
        <v>10012</v>
      </c>
      <c r="B13" s="2">
        <v>1214</v>
      </c>
      <c r="C13" s="2" t="s">
        <v>37</v>
      </c>
      <c r="D13" s="2" t="s">
        <v>19</v>
      </c>
      <c r="E13" s="2" t="s">
        <v>20</v>
      </c>
      <c r="F13" s="2" t="s">
        <v>35</v>
      </c>
      <c r="G13" s="2" t="s">
        <v>39</v>
      </c>
      <c r="H13" s="2" t="s">
        <v>17</v>
      </c>
      <c r="I13" s="2">
        <v>6</v>
      </c>
      <c r="J13" s="2">
        <v>272.35000000000002</v>
      </c>
      <c r="K13" s="2">
        <v>5</v>
      </c>
      <c r="L13" s="2">
        <v>1552.39</v>
      </c>
    </row>
    <row r="14" spans="1:17" x14ac:dyDescent="0.35">
      <c r="A14" s="2">
        <v>10013</v>
      </c>
      <c r="B14" s="2">
        <v>1330</v>
      </c>
      <c r="C14" s="2" t="s">
        <v>13</v>
      </c>
      <c r="D14" s="2" t="s">
        <v>19</v>
      </c>
      <c r="E14" s="2" t="s">
        <v>14</v>
      </c>
      <c r="F14" s="2" t="s">
        <v>29</v>
      </c>
      <c r="G14" s="2" t="s">
        <v>16</v>
      </c>
      <c r="H14" s="2" t="s">
        <v>17</v>
      </c>
      <c r="I14" s="2">
        <v>8</v>
      </c>
      <c r="J14" s="2">
        <v>3160.9</v>
      </c>
      <c r="K14" s="2">
        <v>0</v>
      </c>
      <c r="L14" s="2">
        <v>25287.200000000001</v>
      </c>
    </row>
    <row r="15" spans="1:17" x14ac:dyDescent="0.35">
      <c r="A15" s="2">
        <v>10014</v>
      </c>
      <c r="B15" s="2">
        <v>1458</v>
      </c>
      <c r="C15" s="2" t="s">
        <v>30</v>
      </c>
      <c r="D15" s="2" t="s">
        <v>31</v>
      </c>
      <c r="E15" s="2" t="s">
        <v>25</v>
      </c>
      <c r="F15" s="2" t="s">
        <v>29</v>
      </c>
      <c r="G15" s="2" t="s">
        <v>22</v>
      </c>
      <c r="H15" s="2" t="s">
        <v>23</v>
      </c>
      <c r="I15" s="2">
        <v>8</v>
      </c>
      <c r="J15" s="2">
        <v>1074.27</v>
      </c>
      <c r="K15" s="2">
        <v>15</v>
      </c>
      <c r="L15" s="2">
        <v>7305.04</v>
      </c>
      <c r="N15" s="1" t="s">
        <v>1</v>
      </c>
      <c r="O15" s="1" t="s">
        <v>0</v>
      </c>
      <c r="P15" s="1" t="s">
        <v>6</v>
      </c>
      <c r="Q15" s="3"/>
    </row>
    <row r="16" spans="1:17" x14ac:dyDescent="0.35">
      <c r="A16" s="2">
        <v>10015</v>
      </c>
      <c r="B16" s="2">
        <v>1087</v>
      </c>
      <c r="C16" s="2" t="s">
        <v>32</v>
      </c>
      <c r="D16" s="2" t="s">
        <v>19</v>
      </c>
      <c r="E16" s="2" t="s">
        <v>20</v>
      </c>
      <c r="F16" s="2" t="s">
        <v>15</v>
      </c>
      <c r="G16" s="2" t="s">
        <v>40</v>
      </c>
      <c r="H16" s="2" t="s">
        <v>17</v>
      </c>
      <c r="I16" s="2">
        <v>9</v>
      </c>
      <c r="J16" s="2">
        <v>705.59</v>
      </c>
      <c r="K16" s="2">
        <v>10</v>
      </c>
      <c r="L16" s="2">
        <v>5715.28</v>
      </c>
      <c r="N16" s="2">
        <v>1270</v>
      </c>
      <c r="O16" s="2">
        <f>INDEX(A1:A501,MATCH(N16,B1:B501,0))</f>
        <v>10004</v>
      </c>
      <c r="P16" s="2" t="str">
        <f>INDEX(G1:G501,MATCH(N16,B1:B501,0))</f>
        <v>Sports</v>
      </c>
      <c r="Q16" s="3"/>
    </row>
    <row r="17" spans="1:15" x14ac:dyDescent="0.35">
      <c r="A17" s="2">
        <v>10016</v>
      </c>
      <c r="B17" s="2">
        <v>1372</v>
      </c>
      <c r="C17" s="2" t="s">
        <v>18</v>
      </c>
      <c r="D17" s="2" t="s">
        <v>24</v>
      </c>
      <c r="E17" s="2" t="s">
        <v>14</v>
      </c>
      <c r="F17" s="2" t="s">
        <v>34</v>
      </c>
      <c r="G17" s="2" t="s">
        <v>26</v>
      </c>
      <c r="H17" s="2" t="s">
        <v>17</v>
      </c>
      <c r="I17" s="2">
        <v>8</v>
      </c>
      <c r="J17" s="2">
        <v>595.45000000000005</v>
      </c>
      <c r="K17" s="2">
        <v>5</v>
      </c>
      <c r="L17" s="2">
        <v>4525.42</v>
      </c>
    </row>
    <row r="18" spans="1:15" x14ac:dyDescent="0.35">
      <c r="A18" s="2">
        <v>10017</v>
      </c>
      <c r="B18" s="2">
        <v>1099</v>
      </c>
      <c r="C18" s="2" t="s">
        <v>13</v>
      </c>
      <c r="D18" s="2" t="s">
        <v>41</v>
      </c>
      <c r="E18" s="2" t="s">
        <v>14</v>
      </c>
      <c r="F18" s="2" t="s">
        <v>35</v>
      </c>
      <c r="G18" s="2" t="s">
        <v>26</v>
      </c>
      <c r="H18" s="2" t="s">
        <v>23</v>
      </c>
      <c r="I18" s="2">
        <v>2</v>
      </c>
      <c r="J18" s="2">
        <v>254.91</v>
      </c>
      <c r="K18" s="2">
        <v>15</v>
      </c>
      <c r="L18" s="2">
        <v>433.35</v>
      </c>
      <c r="N18" s="1" t="s">
        <v>0</v>
      </c>
      <c r="O18" s="1" t="s">
        <v>5</v>
      </c>
    </row>
    <row r="19" spans="1:15" x14ac:dyDescent="0.35">
      <c r="A19" s="2">
        <v>10018</v>
      </c>
      <c r="B19" s="2">
        <v>1871</v>
      </c>
      <c r="C19" s="2" t="s">
        <v>12</v>
      </c>
      <c r="D19" s="2" t="s">
        <v>24</v>
      </c>
      <c r="E19" s="2" t="s">
        <v>20</v>
      </c>
      <c r="F19" s="2" t="s">
        <v>15</v>
      </c>
      <c r="G19" s="2" t="s">
        <v>16</v>
      </c>
      <c r="H19" s="2" t="s">
        <v>23</v>
      </c>
      <c r="I19" s="2">
        <v>1</v>
      </c>
      <c r="J19" s="2">
        <v>2165.81</v>
      </c>
      <c r="K19" s="2">
        <v>15</v>
      </c>
      <c r="L19" s="2">
        <v>1840.94</v>
      </c>
      <c r="N19" s="2">
        <v>10002</v>
      </c>
      <c r="O19" s="2" t="str">
        <f>INDEX(A1:L501,MATCH(N19,A1:A501,0),MATCH(O18,A1:L1,0))</f>
        <v>Debit Card</v>
      </c>
    </row>
    <row r="20" spans="1:15" x14ac:dyDescent="0.35">
      <c r="A20" s="2">
        <v>10019</v>
      </c>
      <c r="B20" s="2">
        <v>1663</v>
      </c>
      <c r="C20" s="2" t="s">
        <v>28</v>
      </c>
      <c r="D20" s="2" t="s">
        <v>31</v>
      </c>
      <c r="E20" s="2" t="s">
        <v>25</v>
      </c>
      <c r="F20" s="2" t="s">
        <v>34</v>
      </c>
      <c r="G20" s="2" t="s">
        <v>26</v>
      </c>
      <c r="H20" s="2" t="s">
        <v>27</v>
      </c>
      <c r="I20" s="2">
        <v>2</v>
      </c>
      <c r="J20" s="2">
        <v>990.3</v>
      </c>
      <c r="K20" s="2">
        <v>15</v>
      </c>
      <c r="L20" s="2">
        <v>1683.51</v>
      </c>
    </row>
    <row r="21" spans="1:15" x14ac:dyDescent="0.35">
      <c r="A21" s="2">
        <v>10020</v>
      </c>
      <c r="B21" s="2">
        <v>1130</v>
      </c>
      <c r="C21" s="2" t="s">
        <v>37</v>
      </c>
      <c r="D21" s="2" t="s">
        <v>31</v>
      </c>
      <c r="E21" s="2" t="s">
        <v>14</v>
      </c>
      <c r="F21" s="2" t="s">
        <v>15</v>
      </c>
      <c r="G21" s="2" t="s">
        <v>39</v>
      </c>
      <c r="H21" s="2" t="s">
        <v>17</v>
      </c>
      <c r="I21" s="2">
        <v>2</v>
      </c>
      <c r="J21" s="2">
        <v>3959.31</v>
      </c>
      <c r="K21" s="2">
        <v>5</v>
      </c>
      <c r="L21" s="2">
        <v>7522.69</v>
      </c>
    </row>
    <row r="22" spans="1:15" x14ac:dyDescent="0.35">
      <c r="A22" s="2">
        <v>10021</v>
      </c>
      <c r="B22" s="2">
        <v>1661</v>
      </c>
      <c r="C22" s="2" t="s">
        <v>37</v>
      </c>
      <c r="D22" s="2" t="s">
        <v>24</v>
      </c>
      <c r="E22" s="2" t="s">
        <v>20</v>
      </c>
      <c r="F22" s="2" t="s">
        <v>15</v>
      </c>
      <c r="G22" s="2" t="s">
        <v>40</v>
      </c>
      <c r="H22" s="2" t="s">
        <v>17</v>
      </c>
      <c r="I22" s="2">
        <v>3</v>
      </c>
      <c r="J22" s="2">
        <v>2361.58</v>
      </c>
      <c r="K22" s="2">
        <v>5</v>
      </c>
      <c r="L22" s="2">
        <v>6730.5</v>
      </c>
    </row>
    <row r="23" spans="1:15" x14ac:dyDescent="0.35">
      <c r="A23" s="2">
        <v>10022</v>
      </c>
      <c r="B23" s="2">
        <v>1308</v>
      </c>
      <c r="C23" s="2" t="s">
        <v>30</v>
      </c>
      <c r="D23" s="2" t="s">
        <v>19</v>
      </c>
      <c r="E23" s="2" t="s">
        <v>25</v>
      </c>
      <c r="F23" s="2" t="s">
        <v>29</v>
      </c>
      <c r="G23" s="2" t="s">
        <v>42</v>
      </c>
      <c r="H23" s="2" t="s">
        <v>27</v>
      </c>
      <c r="I23" s="2">
        <v>7</v>
      </c>
      <c r="J23" s="2">
        <v>680.86</v>
      </c>
      <c r="K23" s="2">
        <v>20</v>
      </c>
      <c r="L23" s="2">
        <v>3812.82</v>
      </c>
    </row>
    <row r="24" spans="1:15" x14ac:dyDescent="0.35">
      <c r="A24" s="2">
        <v>10023</v>
      </c>
      <c r="B24" s="2">
        <v>1769</v>
      </c>
      <c r="C24" s="2" t="s">
        <v>13</v>
      </c>
      <c r="D24" s="2" t="s">
        <v>19</v>
      </c>
      <c r="E24" s="2" t="s">
        <v>14</v>
      </c>
      <c r="F24" s="2" t="s">
        <v>34</v>
      </c>
      <c r="G24" s="2" t="s">
        <v>26</v>
      </c>
      <c r="H24" s="2" t="s">
        <v>36</v>
      </c>
      <c r="I24" s="2">
        <v>2</v>
      </c>
      <c r="J24" s="2">
        <v>2801.74</v>
      </c>
      <c r="K24" s="2">
        <v>20</v>
      </c>
      <c r="L24" s="2">
        <v>4482.78</v>
      </c>
    </row>
    <row r="25" spans="1:15" x14ac:dyDescent="0.35">
      <c r="A25" s="2">
        <v>10024</v>
      </c>
      <c r="B25" s="2">
        <v>1343</v>
      </c>
      <c r="C25" s="2" t="s">
        <v>18</v>
      </c>
      <c r="D25" s="2" t="s">
        <v>33</v>
      </c>
      <c r="E25" s="2" t="s">
        <v>14</v>
      </c>
      <c r="F25" s="2" t="s">
        <v>35</v>
      </c>
      <c r="G25" s="2" t="s">
        <v>39</v>
      </c>
      <c r="H25" s="2" t="s">
        <v>36</v>
      </c>
      <c r="I25" s="2">
        <v>1</v>
      </c>
      <c r="J25" s="2">
        <v>3606.31</v>
      </c>
      <c r="K25" s="2">
        <v>0</v>
      </c>
      <c r="L25" s="2">
        <v>3606.31</v>
      </c>
    </row>
    <row r="26" spans="1:15" x14ac:dyDescent="0.35">
      <c r="A26" s="2">
        <v>10025</v>
      </c>
      <c r="B26" s="2">
        <v>1491</v>
      </c>
      <c r="C26" s="2" t="s">
        <v>30</v>
      </c>
      <c r="D26" s="2" t="s">
        <v>31</v>
      </c>
      <c r="E26" s="2" t="s">
        <v>25</v>
      </c>
      <c r="F26" s="2" t="s">
        <v>35</v>
      </c>
      <c r="G26" s="2" t="s">
        <v>42</v>
      </c>
      <c r="H26" s="2" t="s">
        <v>36</v>
      </c>
      <c r="I26" s="2">
        <v>6</v>
      </c>
      <c r="J26" s="2">
        <v>3018.94</v>
      </c>
      <c r="K26" s="2">
        <v>5</v>
      </c>
      <c r="L26" s="2">
        <v>17207.96</v>
      </c>
    </row>
    <row r="27" spans="1:15" x14ac:dyDescent="0.35">
      <c r="A27" s="2">
        <v>10026</v>
      </c>
      <c r="B27" s="2">
        <v>1413</v>
      </c>
      <c r="C27" s="2" t="s">
        <v>28</v>
      </c>
      <c r="D27" s="2" t="s">
        <v>13</v>
      </c>
      <c r="E27" s="2" t="s">
        <v>25</v>
      </c>
      <c r="F27" s="2" t="s">
        <v>34</v>
      </c>
      <c r="G27" s="2" t="s">
        <v>40</v>
      </c>
      <c r="H27" s="2" t="s">
        <v>27</v>
      </c>
      <c r="I27" s="2">
        <v>9</v>
      </c>
      <c r="J27" s="2">
        <v>444.29</v>
      </c>
      <c r="K27" s="2">
        <v>5</v>
      </c>
      <c r="L27" s="2">
        <v>3798.68</v>
      </c>
    </row>
    <row r="28" spans="1:15" x14ac:dyDescent="0.35">
      <c r="A28" s="2">
        <v>10027</v>
      </c>
      <c r="B28" s="2">
        <v>1805</v>
      </c>
      <c r="C28" s="2" t="s">
        <v>30</v>
      </c>
      <c r="D28" s="2" t="s">
        <v>33</v>
      </c>
      <c r="E28" s="2" t="s">
        <v>20</v>
      </c>
      <c r="F28" s="2" t="s">
        <v>29</v>
      </c>
      <c r="G28" s="2" t="s">
        <v>42</v>
      </c>
      <c r="H28" s="2" t="s">
        <v>17</v>
      </c>
      <c r="I28" s="2">
        <v>3</v>
      </c>
      <c r="J28" s="2">
        <v>3599.15</v>
      </c>
      <c r="K28" s="2">
        <v>5</v>
      </c>
      <c r="L28" s="2">
        <v>10257.58</v>
      </c>
    </row>
    <row r="29" spans="1:15" x14ac:dyDescent="0.35">
      <c r="A29" s="2">
        <v>10028</v>
      </c>
      <c r="B29" s="2">
        <v>1385</v>
      </c>
      <c r="C29" s="2" t="s">
        <v>32</v>
      </c>
      <c r="D29" s="2" t="s">
        <v>19</v>
      </c>
      <c r="E29" s="2" t="s">
        <v>20</v>
      </c>
      <c r="F29" s="2" t="s">
        <v>21</v>
      </c>
      <c r="G29" s="2" t="s">
        <v>39</v>
      </c>
      <c r="H29" s="2" t="s">
        <v>27</v>
      </c>
      <c r="I29" s="2">
        <v>6</v>
      </c>
      <c r="J29" s="2">
        <v>3206.63</v>
      </c>
      <c r="K29" s="2">
        <v>20</v>
      </c>
      <c r="L29" s="2">
        <v>15391.82</v>
      </c>
    </row>
    <row r="30" spans="1:15" x14ac:dyDescent="0.35">
      <c r="A30" s="2">
        <v>10029</v>
      </c>
      <c r="B30" s="2">
        <v>1191</v>
      </c>
      <c r="C30" s="2" t="s">
        <v>37</v>
      </c>
      <c r="D30" s="2" t="s">
        <v>24</v>
      </c>
      <c r="E30" s="2" t="s">
        <v>14</v>
      </c>
      <c r="F30" s="2" t="s">
        <v>15</v>
      </c>
      <c r="G30" s="2" t="s">
        <v>22</v>
      </c>
      <c r="H30" s="2" t="s">
        <v>27</v>
      </c>
      <c r="I30" s="2">
        <v>3</v>
      </c>
      <c r="J30" s="2">
        <v>759.47</v>
      </c>
      <c r="K30" s="2">
        <v>15</v>
      </c>
      <c r="L30" s="2">
        <v>1936.65</v>
      </c>
    </row>
    <row r="31" spans="1:15" x14ac:dyDescent="0.35">
      <c r="A31" s="2">
        <v>10030</v>
      </c>
      <c r="B31" s="2">
        <v>1955</v>
      </c>
      <c r="C31" s="2" t="s">
        <v>37</v>
      </c>
      <c r="D31" s="2" t="s">
        <v>19</v>
      </c>
      <c r="E31" s="2" t="s">
        <v>25</v>
      </c>
      <c r="F31" s="2" t="s">
        <v>29</v>
      </c>
      <c r="G31" s="2" t="s">
        <v>22</v>
      </c>
      <c r="H31" s="2" t="s">
        <v>36</v>
      </c>
      <c r="I31" s="2">
        <v>1</v>
      </c>
      <c r="J31" s="2">
        <v>349.38</v>
      </c>
      <c r="K31" s="2">
        <v>10</v>
      </c>
      <c r="L31" s="2">
        <v>314.44</v>
      </c>
    </row>
    <row r="32" spans="1:15" x14ac:dyDescent="0.35">
      <c r="A32" s="2">
        <v>10031</v>
      </c>
      <c r="B32" s="2">
        <v>1276</v>
      </c>
      <c r="C32" s="2" t="s">
        <v>12</v>
      </c>
      <c r="D32" s="2" t="s">
        <v>24</v>
      </c>
      <c r="E32" s="2" t="s">
        <v>25</v>
      </c>
      <c r="F32" s="2" t="s">
        <v>34</v>
      </c>
      <c r="G32" s="2" t="s">
        <v>42</v>
      </c>
      <c r="H32" s="2" t="s">
        <v>38</v>
      </c>
      <c r="I32" s="2">
        <v>5</v>
      </c>
      <c r="J32" s="2">
        <v>2295.65</v>
      </c>
      <c r="K32" s="2">
        <v>20</v>
      </c>
      <c r="L32" s="2">
        <v>9182.6</v>
      </c>
    </row>
    <row r="33" spans="1:12" x14ac:dyDescent="0.35">
      <c r="A33" s="2">
        <v>10032</v>
      </c>
      <c r="B33" s="2">
        <v>1160</v>
      </c>
      <c r="C33" s="2" t="s">
        <v>12</v>
      </c>
      <c r="D33" s="2" t="s">
        <v>33</v>
      </c>
      <c r="E33" s="2" t="s">
        <v>25</v>
      </c>
      <c r="F33" s="2" t="s">
        <v>15</v>
      </c>
      <c r="G33" s="2" t="s">
        <v>16</v>
      </c>
      <c r="H33" s="2" t="s">
        <v>17</v>
      </c>
      <c r="I33" s="2">
        <v>4</v>
      </c>
      <c r="J33" s="2">
        <v>750.74</v>
      </c>
      <c r="K33" s="2">
        <v>5</v>
      </c>
      <c r="L33" s="2">
        <v>2852.81</v>
      </c>
    </row>
    <row r="34" spans="1:12" x14ac:dyDescent="0.35">
      <c r="A34" s="2">
        <v>10033</v>
      </c>
      <c r="B34" s="2">
        <v>1459</v>
      </c>
      <c r="C34" s="2" t="s">
        <v>18</v>
      </c>
      <c r="D34" s="2" t="s">
        <v>31</v>
      </c>
      <c r="E34" s="2" t="s">
        <v>14</v>
      </c>
      <c r="F34" s="2" t="s">
        <v>35</v>
      </c>
      <c r="G34" s="2" t="s">
        <v>42</v>
      </c>
      <c r="H34" s="2" t="s">
        <v>36</v>
      </c>
      <c r="I34" s="2">
        <v>7</v>
      </c>
      <c r="J34" s="2">
        <v>3363.18</v>
      </c>
      <c r="K34" s="2">
        <v>20</v>
      </c>
      <c r="L34" s="2">
        <v>18833.810000000001</v>
      </c>
    </row>
    <row r="35" spans="1:12" x14ac:dyDescent="0.35">
      <c r="A35" s="2">
        <v>10034</v>
      </c>
      <c r="B35" s="2">
        <v>1313</v>
      </c>
      <c r="C35" s="2" t="s">
        <v>28</v>
      </c>
      <c r="D35" s="2" t="s">
        <v>19</v>
      </c>
      <c r="E35" s="2" t="s">
        <v>25</v>
      </c>
      <c r="F35" s="2" t="s">
        <v>21</v>
      </c>
      <c r="G35" s="2" t="s">
        <v>26</v>
      </c>
      <c r="H35" s="2" t="s">
        <v>38</v>
      </c>
      <c r="I35" s="2">
        <v>6</v>
      </c>
      <c r="J35" s="2">
        <v>1529.59</v>
      </c>
      <c r="K35" s="2">
        <v>0</v>
      </c>
      <c r="L35" s="2">
        <v>9177.5400000000009</v>
      </c>
    </row>
    <row r="36" spans="1:12" x14ac:dyDescent="0.35">
      <c r="A36" s="2">
        <v>10035</v>
      </c>
      <c r="B36" s="2">
        <v>1021</v>
      </c>
      <c r="C36" s="2" t="s">
        <v>32</v>
      </c>
      <c r="D36" s="2" t="s">
        <v>24</v>
      </c>
      <c r="E36" s="2" t="s">
        <v>25</v>
      </c>
      <c r="F36" s="2" t="s">
        <v>35</v>
      </c>
      <c r="G36" s="2" t="s">
        <v>26</v>
      </c>
      <c r="H36" s="2" t="s">
        <v>38</v>
      </c>
      <c r="I36" s="2">
        <v>7</v>
      </c>
      <c r="J36" s="2">
        <v>3664.64</v>
      </c>
      <c r="K36" s="2">
        <v>5</v>
      </c>
      <c r="L36" s="2">
        <v>24369.86</v>
      </c>
    </row>
    <row r="37" spans="1:12" x14ac:dyDescent="0.35">
      <c r="A37" s="2">
        <v>10036</v>
      </c>
      <c r="B37" s="2">
        <v>1252</v>
      </c>
      <c r="C37" s="2" t="s">
        <v>13</v>
      </c>
      <c r="D37" s="2" t="s">
        <v>31</v>
      </c>
      <c r="E37" s="2" t="s">
        <v>14</v>
      </c>
      <c r="F37" s="2" t="s">
        <v>34</v>
      </c>
      <c r="G37" s="2" t="s">
        <v>22</v>
      </c>
      <c r="H37" s="2" t="s">
        <v>23</v>
      </c>
      <c r="I37" s="2">
        <v>5</v>
      </c>
      <c r="J37" s="2">
        <v>2327.9</v>
      </c>
      <c r="K37" s="2">
        <v>0</v>
      </c>
      <c r="L37" s="2">
        <v>11639.5</v>
      </c>
    </row>
    <row r="38" spans="1:12" x14ac:dyDescent="0.35">
      <c r="A38" s="2">
        <v>10037</v>
      </c>
      <c r="B38" s="2">
        <v>1747</v>
      </c>
      <c r="C38" s="2" t="s">
        <v>30</v>
      </c>
      <c r="D38" s="2" t="s">
        <v>13</v>
      </c>
      <c r="E38" s="2" t="s">
        <v>20</v>
      </c>
      <c r="F38" s="2" t="s">
        <v>15</v>
      </c>
      <c r="G38" s="2" t="s">
        <v>16</v>
      </c>
      <c r="H38" s="2" t="s">
        <v>17</v>
      </c>
      <c r="I38" s="2">
        <v>4</v>
      </c>
      <c r="J38" s="2">
        <v>853.29</v>
      </c>
      <c r="K38" s="2">
        <v>5</v>
      </c>
      <c r="L38" s="2">
        <v>3242.5</v>
      </c>
    </row>
    <row r="39" spans="1:12" x14ac:dyDescent="0.35">
      <c r="A39" s="2">
        <v>10038</v>
      </c>
      <c r="B39" s="2">
        <v>1856</v>
      </c>
      <c r="C39" s="2" t="s">
        <v>18</v>
      </c>
      <c r="D39" s="2" t="s">
        <v>24</v>
      </c>
      <c r="E39" s="2" t="s">
        <v>20</v>
      </c>
      <c r="F39" s="2" t="s">
        <v>34</v>
      </c>
      <c r="G39" s="2" t="s">
        <v>39</v>
      </c>
      <c r="H39" s="2" t="s">
        <v>38</v>
      </c>
      <c r="I39" s="2">
        <v>7</v>
      </c>
      <c r="J39" s="2">
        <v>687.46</v>
      </c>
      <c r="K39" s="2">
        <v>20</v>
      </c>
      <c r="L39" s="2">
        <v>3849.78</v>
      </c>
    </row>
    <row r="40" spans="1:12" x14ac:dyDescent="0.35">
      <c r="A40" s="2">
        <v>10039</v>
      </c>
      <c r="B40" s="2">
        <v>1560</v>
      </c>
      <c r="C40" s="2" t="s">
        <v>28</v>
      </c>
      <c r="D40" s="2" t="s">
        <v>33</v>
      </c>
      <c r="E40" s="2" t="s">
        <v>14</v>
      </c>
      <c r="F40" s="2" t="s">
        <v>15</v>
      </c>
      <c r="G40" s="2" t="s">
        <v>26</v>
      </c>
      <c r="H40" s="2" t="s">
        <v>36</v>
      </c>
      <c r="I40" s="2">
        <v>7</v>
      </c>
      <c r="J40" s="2">
        <v>2369.42</v>
      </c>
      <c r="K40" s="2">
        <v>15</v>
      </c>
      <c r="L40" s="2">
        <v>14098.05</v>
      </c>
    </row>
    <row r="41" spans="1:12" x14ac:dyDescent="0.35">
      <c r="A41" s="2">
        <v>10040</v>
      </c>
      <c r="B41" s="2">
        <v>1474</v>
      </c>
      <c r="C41" s="2" t="s">
        <v>12</v>
      </c>
      <c r="D41" s="2" t="s">
        <v>13</v>
      </c>
      <c r="E41" s="2" t="s">
        <v>25</v>
      </c>
      <c r="F41" s="2" t="s">
        <v>29</v>
      </c>
      <c r="G41" s="2" t="s">
        <v>22</v>
      </c>
      <c r="H41" s="2" t="s">
        <v>23</v>
      </c>
      <c r="I41" s="2">
        <v>6</v>
      </c>
      <c r="J41" s="2">
        <v>3083.25</v>
      </c>
      <c r="K41" s="2">
        <v>10</v>
      </c>
      <c r="L41" s="2">
        <v>16649.55</v>
      </c>
    </row>
    <row r="42" spans="1:12" x14ac:dyDescent="0.35">
      <c r="A42" s="2">
        <v>10041</v>
      </c>
      <c r="B42" s="2">
        <v>1058</v>
      </c>
      <c r="C42" s="2" t="s">
        <v>30</v>
      </c>
      <c r="D42" s="2" t="s">
        <v>13</v>
      </c>
      <c r="E42" s="2" t="s">
        <v>14</v>
      </c>
      <c r="F42" s="2" t="s">
        <v>21</v>
      </c>
      <c r="G42" s="2" t="s">
        <v>40</v>
      </c>
      <c r="H42" s="2" t="s">
        <v>17</v>
      </c>
      <c r="I42" s="2">
        <v>8</v>
      </c>
      <c r="J42" s="2">
        <v>3158.8</v>
      </c>
      <c r="K42" s="2">
        <v>0</v>
      </c>
      <c r="L42" s="2">
        <v>25270.400000000001</v>
      </c>
    </row>
    <row r="43" spans="1:12" x14ac:dyDescent="0.35">
      <c r="A43" s="2">
        <v>10042</v>
      </c>
      <c r="B43" s="2">
        <v>1510</v>
      </c>
      <c r="C43" s="2" t="s">
        <v>12</v>
      </c>
      <c r="D43" s="2" t="s">
        <v>41</v>
      </c>
      <c r="E43" s="2" t="s">
        <v>20</v>
      </c>
      <c r="F43" s="2" t="s">
        <v>29</v>
      </c>
      <c r="G43" s="2" t="s">
        <v>22</v>
      </c>
      <c r="H43" s="2" t="s">
        <v>27</v>
      </c>
      <c r="I43" s="2">
        <v>4</v>
      </c>
      <c r="J43" s="2">
        <v>1211.67</v>
      </c>
      <c r="K43" s="2">
        <v>20</v>
      </c>
      <c r="L43" s="2">
        <v>3877.34</v>
      </c>
    </row>
    <row r="44" spans="1:12" x14ac:dyDescent="0.35">
      <c r="A44" s="2">
        <v>10043</v>
      </c>
      <c r="B44" s="2">
        <v>1681</v>
      </c>
      <c r="C44" s="2" t="s">
        <v>30</v>
      </c>
      <c r="D44" s="2" t="s">
        <v>19</v>
      </c>
      <c r="E44" s="2" t="s">
        <v>20</v>
      </c>
      <c r="F44" s="2" t="s">
        <v>29</v>
      </c>
      <c r="G44" s="2" t="s">
        <v>26</v>
      </c>
      <c r="H44" s="2" t="s">
        <v>36</v>
      </c>
      <c r="I44" s="2">
        <v>5</v>
      </c>
      <c r="J44" s="2">
        <v>936.35</v>
      </c>
      <c r="K44" s="2">
        <v>15</v>
      </c>
      <c r="L44" s="2">
        <v>3979.49</v>
      </c>
    </row>
    <row r="45" spans="1:12" x14ac:dyDescent="0.35">
      <c r="A45" s="2">
        <v>10044</v>
      </c>
      <c r="B45" s="2">
        <v>1475</v>
      </c>
      <c r="C45" s="2" t="s">
        <v>13</v>
      </c>
      <c r="D45" s="2" t="s">
        <v>24</v>
      </c>
      <c r="E45" s="2" t="s">
        <v>14</v>
      </c>
      <c r="F45" s="2" t="s">
        <v>34</v>
      </c>
      <c r="G45" s="2" t="s">
        <v>26</v>
      </c>
      <c r="H45" s="2" t="s">
        <v>38</v>
      </c>
      <c r="I45" s="2">
        <v>4</v>
      </c>
      <c r="J45" s="2">
        <v>214.51</v>
      </c>
      <c r="K45" s="2">
        <v>20</v>
      </c>
      <c r="L45" s="2">
        <v>686.43</v>
      </c>
    </row>
    <row r="46" spans="1:12" x14ac:dyDescent="0.35">
      <c r="A46" s="2">
        <v>10045</v>
      </c>
      <c r="B46" s="2">
        <v>1699</v>
      </c>
      <c r="C46" s="2" t="s">
        <v>28</v>
      </c>
      <c r="D46" s="2" t="s">
        <v>13</v>
      </c>
      <c r="E46" s="2" t="s">
        <v>14</v>
      </c>
      <c r="F46" s="2" t="s">
        <v>21</v>
      </c>
      <c r="G46" s="2" t="s">
        <v>22</v>
      </c>
      <c r="H46" s="2" t="s">
        <v>38</v>
      </c>
      <c r="I46" s="2">
        <v>1</v>
      </c>
      <c r="J46" s="2">
        <v>2764.92</v>
      </c>
      <c r="K46" s="2">
        <v>0</v>
      </c>
      <c r="L46" s="2">
        <v>2764.92</v>
      </c>
    </row>
    <row r="47" spans="1:12" x14ac:dyDescent="0.35">
      <c r="A47" s="2">
        <v>10046</v>
      </c>
      <c r="B47" s="2">
        <v>1975</v>
      </c>
      <c r="C47" s="2" t="s">
        <v>30</v>
      </c>
      <c r="D47" s="2" t="s">
        <v>41</v>
      </c>
      <c r="E47" s="2" t="s">
        <v>20</v>
      </c>
      <c r="F47" s="2" t="s">
        <v>15</v>
      </c>
      <c r="G47" s="2" t="s">
        <v>39</v>
      </c>
      <c r="H47" s="2" t="s">
        <v>36</v>
      </c>
      <c r="I47" s="2">
        <v>8</v>
      </c>
      <c r="J47" s="2">
        <v>444.79</v>
      </c>
      <c r="K47" s="2">
        <v>10</v>
      </c>
      <c r="L47" s="2">
        <v>3202.49</v>
      </c>
    </row>
    <row r="48" spans="1:12" x14ac:dyDescent="0.35">
      <c r="A48" s="2">
        <v>10047</v>
      </c>
      <c r="B48" s="2">
        <v>1782</v>
      </c>
      <c r="C48" s="2" t="s">
        <v>32</v>
      </c>
      <c r="D48" s="2" t="s">
        <v>33</v>
      </c>
      <c r="E48" s="2" t="s">
        <v>14</v>
      </c>
      <c r="F48" s="2" t="s">
        <v>15</v>
      </c>
      <c r="G48" s="2" t="s">
        <v>42</v>
      </c>
      <c r="H48" s="2" t="s">
        <v>38</v>
      </c>
      <c r="I48" s="2">
        <v>1</v>
      </c>
      <c r="J48" s="2">
        <v>1769.93</v>
      </c>
      <c r="K48" s="2">
        <v>20</v>
      </c>
      <c r="L48" s="2">
        <v>1415.94</v>
      </c>
    </row>
    <row r="49" spans="1:12" x14ac:dyDescent="0.35">
      <c r="A49" s="2">
        <v>10048</v>
      </c>
      <c r="B49" s="2">
        <v>1189</v>
      </c>
      <c r="C49" s="2" t="s">
        <v>18</v>
      </c>
      <c r="D49" s="2" t="s">
        <v>31</v>
      </c>
      <c r="E49" s="2" t="s">
        <v>20</v>
      </c>
      <c r="F49" s="2" t="s">
        <v>35</v>
      </c>
      <c r="G49" s="2" t="s">
        <v>26</v>
      </c>
      <c r="H49" s="2" t="s">
        <v>23</v>
      </c>
      <c r="I49" s="2">
        <v>5</v>
      </c>
      <c r="J49" s="2">
        <v>2466.48</v>
      </c>
      <c r="K49" s="2">
        <v>5</v>
      </c>
      <c r="L49" s="2">
        <v>11715.78</v>
      </c>
    </row>
    <row r="50" spans="1:12" x14ac:dyDescent="0.35">
      <c r="A50" s="2">
        <v>10049</v>
      </c>
      <c r="B50" s="2">
        <v>1957</v>
      </c>
      <c r="C50" s="2" t="s">
        <v>37</v>
      </c>
      <c r="D50" s="2" t="s">
        <v>24</v>
      </c>
      <c r="E50" s="2" t="s">
        <v>14</v>
      </c>
      <c r="F50" s="2" t="s">
        <v>15</v>
      </c>
      <c r="G50" s="2" t="s">
        <v>22</v>
      </c>
      <c r="H50" s="2" t="s">
        <v>17</v>
      </c>
      <c r="I50" s="2">
        <v>6</v>
      </c>
      <c r="J50" s="2">
        <v>3757.87</v>
      </c>
      <c r="K50" s="2">
        <v>15</v>
      </c>
      <c r="L50" s="2">
        <v>19165.14</v>
      </c>
    </row>
    <row r="51" spans="1:12" x14ac:dyDescent="0.35">
      <c r="A51" s="2">
        <v>10050</v>
      </c>
      <c r="B51" s="2">
        <v>1686</v>
      </c>
      <c r="C51" s="2" t="s">
        <v>32</v>
      </c>
      <c r="D51" s="2" t="s">
        <v>13</v>
      </c>
      <c r="E51" s="2" t="s">
        <v>14</v>
      </c>
      <c r="F51" s="2" t="s">
        <v>34</v>
      </c>
      <c r="G51" s="2" t="s">
        <v>22</v>
      </c>
      <c r="H51" s="2" t="s">
        <v>23</v>
      </c>
      <c r="I51" s="2">
        <v>6</v>
      </c>
      <c r="J51" s="2">
        <v>1350.44</v>
      </c>
      <c r="K51" s="2">
        <v>20</v>
      </c>
      <c r="L51" s="2">
        <v>6482.11</v>
      </c>
    </row>
    <row r="52" spans="1:12" x14ac:dyDescent="0.35">
      <c r="A52" s="2">
        <v>10051</v>
      </c>
      <c r="B52" s="2">
        <v>1957</v>
      </c>
      <c r="C52" s="2" t="s">
        <v>32</v>
      </c>
      <c r="D52" s="2" t="s">
        <v>19</v>
      </c>
      <c r="E52" s="2" t="s">
        <v>14</v>
      </c>
      <c r="F52" s="2" t="s">
        <v>29</v>
      </c>
      <c r="G52" s="2" t="s">
        <v>16</v>
      </c>
      <c r="H52" s="2" t="s">
        <v>38</v>
      </c>
      <c r="I52" s="2">
        <v>5</v>
      </c>
      <c r="J52" s="2">
        <v>1111.6199999999999</v>
      </c>
      <c r="K52" s="2">
        <v>15</v>
      </c>
      <c r="L52" s="2">
        <v>4724.3900000000003</v>
      </c>
    </row>
    <row r="53" spans="1:12" x14ac:dyDescent="0.35">
      <c r="A53" s="2">
        <v>10052</v>
      </c>
      <c r="B53" s="2">
        <v>1562</v>
      </c>
      <c r="C53" s="2" t="s">
        <v>18</v>
      </c>
      <c r="D53" s="2" t="s">
        <v>41</v>
      </c>
      <c r="E53" s="2" t="s">
        <v>20</v>
      </c>
      <c r="F53" s="2" t="s">
        <v>29</v>
      </c>
      <c r="G53" s="2" t="s">
        <v>42</v>
      </c>
      <c r="H53" s="2" t="s">
        <v>27</v>
      </c>
      <c r="I53" s="2">
        <v>3</v>
      </c>
      <c r="J53" s="2">
        <v>2668.52</v>
      </c>
      <c r="K53" s="2">
        <v>5</v>
      </c>
      <c r="L53" s="2">
        <v>7605.28</v>
      </c>
    </row>
    <row r="54" spans="1:12" x14ac:dyDescent="0.35">
      <c r="A54" s="2">
        <v>10053</v>
      </c>
      <c r="B54" s="2">
        <v>1875</v>
      </c>
      <c r="C54" s="2" t="s">
        <v>37</v>
      </c>
      <c r="D54" s="2" t="s">
        <v>13</v>
      </c>
      <c r="E54" s="2" t="s">
        <v>14</v>
      </c>
      <c r="F54" s="2" t="s">
        <v>29</v>
      </c>
      <c r="G54" s="2" t="s">
        <v>40</v>
      </c>
      <c r="H54" s="2" t="s">
        <v>17</v>
      </c>
      <c r="I54" s="2">
        <v>5</v>
      </c>
      <c r="J54" s="2">
        <v>2534.0700000000002</v>
      </c>
      <c r="K54" s="2">
        <v>10</v>
      </c>
      <c r="L54" s="2">
        <v>11403.31</v>
      </c>
    </row>
    <row r="55" spans="1:12" x14ac:dyDescent="0.35">
      <c r="A55" s="2">
        <v>10054</v>
      </c>
      <c r="B55" s="2">
        <v>1566</v>
      </c>
      <c r="C55" s="2" t="s">
        <v>32</v>
      </c>
      <c r="D55" s="2" t="s">
        <v>19</v>
      </c>
      <c r="E55" s="2" t="s">
        <v>20</v>
      </c>
      <c r="F55" s="2" t="s">
        <v>21</v>
      </c>
      <c r="G55" s="2" t="s">
        <v>39</v>
      </c>
      <c r="H55" s="2" t="s">
        <v>17</v>
      </c>
      <c r="I55" s="2">
        <v>8</v>
      </c>
      <c r="J55" s="2">
        <v>1428.62</v>
      </c>
      <c r="K55" s="2">
        <v>10</v>
      </c>
      <c r="L55" s="2">
        <v>10286.06</v>
      </c>
    </row>
    <row r="56" spans="1:12" x14ac:dyDescent="0.35">
      <c r="A56" s="2">
        <v>10055</v>
      </c>
      <c r="B56" s="2">
        <v>1243</v>
      </c>
      <c r="C56" s="2" t="s">
        <v>30</v>
      </c>
      <c r="D56" s="2" t="s">
        <v>13</v>
      </c>
      <c r="E56" s="2" t="s">
        <v>20</v>
      </c>
      <c r="F56" s="2" t="s">
        <v>15</v>
      </c>
      <c r="G56" s="2" t="s">
        <v>40</v>
      </c>
      <c r="H56" s="2" t="s">
        <v>36</v>
      </c>
      <c r="I56" s="2">
        <v>2</v>
      </c>
      <c r="J56" s="2">
        <v>3723.19</v>
      </c>
      <c r="K56" s="2">
        <v>5</v>
      </c>
      <c r="L56" s="2">
        <v>7074.06</v>
      </c>
    </row>
    <row r="57" spans="1:12" x14ac:dyDescent="0.35">
      <c r="A57" s="2">
        <v>10056</v>
      </c>
      <c r="B57" s="2">
        <v>1831</v>
      </c>
      <c r="C57" s="2" t="s">
        <v>30</v>
      </c>
      <c r="D57" s="2" t="s">
        <v>24</v>
      </c>
      <c r="E57" s="2" t="s">
        <v>14</v>
      </c>
      <c r="F57" s="2" t="s">
        <v>34</v>
      </c>
      <c r="G57" s="2" t="s">
        <v>42</v>
      </c>
      <c r="H57" s="2" t="s">
        <v>36</v>
      </c>
      <c r="I57" s="2">
        <v>6</v>
      </c>
      <c r="J57" s="2">
        <v>3402.72</v>
      </c>
      <c r="K57" s="2">
        <v>15</v>
      </c>
      <c r="L57" s="2">
        <v>17353.87</v>
      </c>
    </row>
    <row r="58" spans="1:12" x14ac:dyDescent="0.35">
      <c r="A58" s="2">
        <v>10057</v>
      </c>
      <c r="B58" s="2">
        <v>1504</v>
      </c>
      <c r="C58" s="2" t="s">
        <v>30</v>
      </c>
      <c r="D58" s="2" t="s">
        <v>24</v>
      </c>
      <c r="E58" s="2" t="s">
        <v>14</v>
      </c>
      <c r="F58" s="2" t="s">
        <v>21</v>
      </c>
      <c r="G58" s="2" t="s">
        <v>42</v>
      </c>
      <c r="H58" s="2" t="s">
        <v>27</v>
      </c>
      <c r="I58" s="2">
        <v>9</v>
      </c>
      <c r="J58" s="2">
        <v>1012.33</v>
      </c>
      <c r="K58" s="2">
        <v>20</v>
      </c>
      <c r="L58" s="2">
        <v>7288.78</v>
      </c>
    </row>
    <row r="59" spans="1:12" x14ac:dyDescent="0.35">
      <c r="A59" s="2">
        <v>10058</v>
      </c>
      <c r="B59" s="2">
        <v>1130</v>
      </c>
      <c r="C59" s="2" t="s">
        <v>37</v>
      </c>
      <c r="D59" s="2" t="s">
        <v>24</v>
      </c>
      <c r="E59" s="2" t="s">
        <v>20</v>
      </c>
      <c r="F59" s="2" t="s">
        <v>35</v>
      </c>
      <c r="G59" s="2" t="s">
        <v>42</v>
      </c>
      <c r="H59" s="2" t="s">
        <v>17</v>
      </c>
      <c r="I59" s="2">
        <v>8</v>
      </c>
      <c r="J59" s="2">
        <v>1070.7</v>
      </c>
      <c r="K59" s="2">
        <v>5</v>
      </c>
      <c r="L59" s="2">
        <v>8137.32</v>
      </c>
    </row>
    <row r="60" spans="1:12" x14ac:dyDescent="0.35">
      <c r="A60" s="2">
        <v>10059</v>
      </c>
      <c r="B60" s="2">
        <v>1484</v>
      </c>
      <c r="C60" s="2" t="s">
        <v>32</v>
      </c>
      <c r="D60" s="2" t="s">
        <v>33</v>
      </c>
      <c r="E60" s="2" t="s">
        <v>20</v>
      </c>
      <c r="F60" s="2" t="s">
        <v>34</v>
      </c>
      <c r="G60" s="2" t="s">
        <v>40</v>
      </c>
      <c r="H60" s="2" t="s">
        <v>27</v>
      </c>
      <c r="I60" s="2">
        <v>8</v>
      </c>
      <c r="J60" s="2">
        <v>2122.36</v>
      </c>
      <c r="K60" s="2">
        <v>0</v>
      </c>
      <c r="L60" s="2">
        <v>16978.88</v>
      </c>
    </row>
    <row r="61" spans="1:12" x14ac:dyDescent="0.35">
      <c r="A61" s="2">
        <v>10060</v>
      </c>
      <c r="B61" s="2">
        <v>1818</v>
      </c>
      <c r="C61" s="2" t="s">
        <v>37</v>
      </c>
      <c r="D61" s="2" t="s">
        <v>33</v>
      </c>
      <c r="E61" s="2" t="s">
        <v>25</v>
      </c>
      <c r="F61" s="2" t="s">
        <v>34</v>
      </c>
      <c r="G61" s="2" t="s">
        <v>42</v>
      </c>
      <c r="H61" s="2" t="s">
        <v>36</v>
      </c>
      <c r="I61" s="2">
        <v>8</v>
      </c>
      <c r="J61" s="2">
        <v>3128.25</v>
      </c>
      <c r="K61" s="2">
        <v>15</v>
      </c>
      <c r="L61" s="2">
        <v>21272.1</v>
      </c>
    </row>
    <row r="62" spans="1:12" x14ac:dyDescent="0.35">
      <c r="A62" s="2">
        <v>10061</v>
      </c>
      <c r="B62" s="2">
        <v>1646</v>
      </c>
      <c r="C62" s="2" t="s">
        <v>30</v>
      </c>
      <c r="D62" s="2" t="s">
        <v>41</v>
      </c>
      <c r="E62" s="2" t="s">
        <v>20</v>
      </c>
      <c r="F62" s="2" t="s">
        <v>34</v>
      </c>
      <c r="G62" s="2" t="s">
        <v>22</v>
      </c>
      <c r="H62" s="2" t="s">
        <v>36</v>
      </c>
      <c r="I62" s="2">
        <v>7</v>
      </c>
      <c r="J62" s="2">
        <v>319.56</v>
      </c>
      <c r="K62" s="2">
        <v>10</v>
      </c>
      <c r="L62" s="2">
        <v>2013.23</v>
      </c>
    </row>
    <row r="63" spans="1:12" x14ac:dyDescent="0.35">
      <c r="A63" s="2">
        <v>10062</v>
      </c>
      <c r="B63" s="2">
        <v>1020</v>
      </c>
      <c r="C63" s="2" t="s">
        <v>18</v>
      </c>
      <c r="D63" s="2" t="s">
        <v>24</v>
      </c>
      <c r="E63" s="2" t="s">
        <v>25</v>
      </c>
      <c r="F63" s="2" t="s">
        <v>29</v>
      </c>
      <c r="G63" s="2" t="s">
        <v>40</v>
      </c>
      <c r="H63" s="2" t="s">
        <v>17</v>
      </c>
      <c r="I63" s="2">
        <v>8</v>
      </c>
      <c r="J63" s="2">
        <v>2819.34</v>
      </c>
      <c r="K63" s="2">
        <v>5</v>
      </c>
      <c r="L63" s="2">
        <v>21426.98</v>
      </c>
    </row>
    <row r="64" spans="1:12" x14ac:dyDescent="0.35">
      <c r="A64" s="2">
        <v>10063</v>
      </c>
      <c r="B64" s="2">
        <v>1840</v>
      </c>
      <c r="C64" s="2" t="s">
        <v>32</v>
      </c>
      <c r="D64" s="2" t="s">
        <v>19</v>
      </c>
      <c r="E64" s="2" t="s">
        <v>25</v>
      </c>
      <c r="F64" s="2" t="s">
        <v>34</v>
      </c>
      <c r="G64" s="2" t="s">
        <v>42</v>
      </c>
      <c r="H64" s="2" t="s">
        <v>23</v>
      </c>
      <c r="I64" s="2">
        <v>6</v>
      </c>
      <c r="J64" s="2">
        <v>2645.71</v>
      </c>
      <c r="K64" s="2">
        <v>10</v>
      </c>
      <c r="L64" s="2">
        <v>14286.83</v>
      </c>
    </row>
    <row r="65" spans="1:12" x14ac:dyDescent="0.35">
      <c r="A65" s="2">
        <v>10064</v>
      </c>
      <c r="B65" s="2">
        <v>1166</v>
      </c>
      <c r="C65" s="2" t="s">
        <v>32</v>
      </c>
      <c r="D65" s="2" t="s">
        <v>13</v>
      </c>
      <c r="E65" s="2" t="s">
        <v>25</v>
      </c>
      <c r="F65" s="2" t="s">
        <v>15</v>
      </c>
      <c r="G65" s="2" t="s">
        <v>22</v>
      </c>
      <c r="H65" s="2" t="s">
        <v>38</v>
      </c>
      <c r="I65" s="2">
        <v>2</v>
      </c>
      <c r="J65" s="2">
        <v>1041.2</v>
      </c>
      <c r="K65" s="2">
        <v>15</v>
      </c>
      <c r="L65" s="2">
        <v>1770.04</v>
      </c>
    </row>
    <row r="66" spans="1:12" x14ac:dyDescent="0.35">
      <c r="A66" s="2">
        <v>10065</v>
      </c>
      <c r="B66" s="2">
        <v>1273</v>
      </c>
      <c r="C66" s="2" t="s">
        <v>12</v>
      </c>
      <c r="D66" s="2" t="s">
        <v>31</v>
      </c>
      <c r="E66" s="2" t="s">
        <v>14</v>
      </c>
      <c r="F66" s="2" t="s">
        <v>34</v>
      </c>
      <c r="G66" s="2" t="s">
        <v>16</v>
      </c>
      <c r="H66" s="2" t="s">
        <v>36</v>
      </c>
      <c r="I66" s="2">
        <v>2</v>
      </c>
      <c r="J66" s="2">
        <v>2773.21</v>
      </c>
      <c r="K66" s="2">
        <v>10</v>
      </c>
      <c r="L66" s="2">
        <v>4991.78</v>
      </c>
    </row>
    <row r="67" spans="1:12" x14ac:dyDescent="0.35">
      <c r="A67" s="2">
        <v>10066</v>
      </c>
      <c r="B67" s="2">
        <v>1387</v>
      </c>
      <c r="C67" s="2" t="s">
        <v>12</v>
      </c>
      <c r="D67" s="2" t="s">
        <v>19</v>
      </c>
      <c r="E67" s="2" t="s">
        <v>14</v>
      </c>
      <c r="F67" s="2" t="s">
        <v>29</v>
      </c>
      <c r="G67" s="2" t="s">
        <v>42</v>
      </c>
      <c r="H67" s="2" t="s">
        <v>36</v>
      </c>
      <c r="I67" s="2">
        <v>8</v>
      </c>
      <c r="J67" s="2">
        <v>3769.71</v>
      </c>
      <c r="K67" s="2">
        <v>5</v>
      </c>
      <c r="L67" s="2">
        <v>28649.8</v>
      </c>
    </row>
    <row r="68" spans="1:12" x14ac:dyDescent="0.35">
      <c r="A68" s="2">
        <v>10067</v>
      </c>
      <c r="B68" s="2">
        <v>1600</v>
      </c>
      <c r="C68" s="2" t="s">
        <v>13</v>
      </c>
      <c r="D68" s="2" t="s">
        <v>33</v>
      </c>
      <c r="E68" s="2" t="s">
        <v>20</v>
      </c>
      <c r="F68" s="2" t="s">
        <v>34</v>
      </c>
      <c r="G68" s="2" t="s">
        <v>40</v>
      </c>
      <c r="H68" s="2" t="s">
        <v>23</v>
      </c>
      <c r="I68" s="2">
        <v>1</v>
      </c>
      <c r="J68" s="2">
        <v>330.13</v>
      </c>
      <c r="K68" s="2">
        <v>15</v>
      </c>
      <c r="L68" s="2">
        <v>280.61</v>
      </c>
    </row>
    <row r="69" spans="1:12" x14ac:dyDescent="0.35">
      <c r="A69" s="2">
        <v>10068</v>
      </c>
      <c r="B69" s="2">
        <v>1315</v>
      </c>
      <c r="C69" s="2" t="s">
        <v>28</v>
      </c>
      <c r="D69" s="2" t="s">
        <v>33</v>
      </c>
      <c r="E69" s="2" t="s">
        <v>25</v>
      </c>
      <c r="F69" s="2" t="s">
        <v>35</v>
      </c>
      <c r="G69" s="2" t="s">
        <v>26</v>
      </c>
      <c r="H69" s="2" t="s">
        <v>23</v>
      </c>
      <c r="I69" s="2">
        <v>6</v>
      </c>
      <c r="J69" s="2">
        <v>1380.66</v>
      </c>
      <c r="K69" s="2">
        <v>0</v>
      </c>
      <c r="L69" s="2">
        <v>8283.9599999999991</v>
      </c>
    </row>
    <row r="70" spans="1:12" x14ac:dyDescent="0.35">
      <c r="A70" s="2">
        <v>10069</v>
      </c>
      <c r="B70" s="2">
        <v>1013</v>
      </c>
      <c r="C70" s="2" t="s">
        <v>12</v>
      </c>
      <c r="D70" s="2" t="s">
        <v>19</v>
      </c>
      <c r="E70" s="2" t="s">
        <v>14</v>
      </c>
      <c r="F70" s="2" t="s">
        <v>35</v>
      </c>
      <c r="G70" s="2" t="s">
        <v>42</v>
      </c>
      <c r="H70" s="2" t="s">
        <v>27</v>
      </c>
      <c r="I70" s="2">
        <v>6</v>
      </c>
      <c r="J70" s="2">
        <v>1836.98</v>
      </c>
      <c r="K70" s="2">
        <v>5</v>
      </c>
      <c r="L70" s="2">
        <v>10470.790000000001</v>
      </c>
    </row>
    <row r="71" spans="1:12" x14ac:dyDescent="0.35">
      <c r="A71" s="2">
        <v>10070</v>
      </c>
      <c r="B71" s="2">
        <v>1241</v>
      </c>
      <c r="C71" s="2" t="s">
        <v>37</v>
      </c>
      <c r="D71" s="2" t="s">
        <v>33</v>
      </c>
      <c r="E71" s="2" t="s">
        <v>14</v>
      </c>
      <c r="F71" s="2" t="s">
        <v>29</v>
      </c>
      <c r="G71" s="2" t="s">
        <v>26</v>
      </c>
      <c r="H71" s="2" t="s">
        <v>27</v>
      </c>
      <c r="I71" s="2">
        <v>4</v>
      </c>
      <c r="J71" s="2">
        <v>3612.15</v>
      </c>
      <c r="K71" s="2">
        <v>20</v>
      </c>
      <c r="L71" s="2">
        <v>11558.88</v>
      </c>
    </row>
    <row r="72" spans="1:12" x14ac:dyDescent="0.35">
      <c r="A72" s="2">
        <v>10071</v>
      </c>
      <c r="B72" s="2">
        <v>1776</v>
      </c>
      <c r="C72" s="2" t="s">
        <v>12</v>
      </c>
      <c r="D72" s="2" t="s">
        <v>24</v>
      </c>
      <c r="E72" s="2" t="s">
        <v>14</v>
      </c>
      <c r="F72" s="2" t="s">
        <v>15</v>
      </c>
      <c r="G72" s="2" t="s">
        <v>22</v>
      </c>
      <c r="H72" s="2" t="s">
        <v>38</v>
      </c>
      <c r="I72" s="2">
        <v>3</v>
      </c>
      <c r="J72" s="2">
        <v>3854.71</v>
      </c>
      <c r="K72" s="2">
        <v>5</v>
      </c>
      <c r="L72" s="2">
        <v>10985.92</v>
      </c>
    </row>
    <row r="73" spans="1:12" x14ac:dyDescent="0.35">
      <c r="A73" s="2">
        <v>10072</v>
      </c>
      <c r="B73" s="2">
        <v>1345</v>
      </c>
      <c r="C73" s="2" t="s">
        <v>13</v>
      </c>
      <c r="D73" s="2" t="s">
        <v>41</v>
      </c>
      <c r="E73" s="2" t="s">
        <v>14</v>
      </c>
      <c r="F73" s="2" t="s">
        <v>15</v>
      </c>
      <c r="G73" s="2" t="s">
        <v>16</v>
      </c>
      <c r="H73" s="2" t="s">
        <v>38</v>
      </c>
      <c r="I73" s="2">
        <v>3</v>
      </c>
      <c r="J73" s="2">
        <v>1859.84</v>
      </c>
      <c r="K73" s="2">
        <v>15</v>
      </c>
      <c r="L73" s="2">
        <v>4742.59</v>
      </c>
    </row>
    <row r="74" spans="1:12" x14ac:dyDescent="0.35">
      <c r="A74" s="2">
        <v>10073</v>
      </c>
      <c r="B74" s="2">
        <v>1564</v>
      </c>
      <c r="C74" s="2" t="s">
        <v>32</v>
      </c>
      <c r="D74" s="2" t="s">
        <v>13</v>
      </c>
      <c r="E74" s="2" t="s">
        <v>14</v>
      </c>
      <c r="F74" s="2" t="s">
        <v>21</v>
      </c>
      <c r="G74" s="2" t="s">
        <v>39</v>
      </c>
      <c r="H74" s="2" t="s">
        <v>17</v>
      </c>
      <c r="I74" s="2">
        <v>1</v>
      </c>
      <c r="J74" s="2">
        <v>3037.61</v>
      </c>
      <c r="K74" s="2">
        <v>5</v>
      </c>
      <c r="L74" s="2">
        <v>2885.73</v>
      </c>
    </row>
    <row r="75" spans="1:12" x14ac:dyDescent="0.35">
      <c r="A75" s="2">
        <v>10074</v>
      </c>
      <c r="B75" s="2">
        <v>1897</v>
      </c>
      <c r="C75" s="2" t="s">
        <v>13</v>
      </c>
      <c r="D75" s="2" t="s">
        <v>41</v>
      </c>
      <c r="E75" s="2" t="s">
        <v>25</v>
      </c>
      <c r="F75" s="2" t="s">
        <v>29</v>
      </c>
      <c r="G75" s="2" t="s">
        <v>16</v>
      </c>
      <c r="H75" s="2" t="s">
        <v>27</v>
      </c>
      <c r="I75" s="2">
        <v>3</v>
      </c>
      <c r="J75" s="2">
        <v>2196.89</v>
      </c>
      <c r="K75" s="2">
        <v>0</v>
      </c>
      <c r="L75" s="2">
        <v>6590.67</v>
      </c>
    </row>
    <row r="76" spans="1:12" x14ac:dyDescent="0.35">
      <c r="A76" s="2">
        <v>10075</v>
      </c>
      <c r="B76" s="2">
        <v>1339</v>
      </c>
      <c r="C76" s="2" t="s">
        <v>32</v>
      </c>
      <c r="D76" s="2" t="s">
        <v>13</v>
      </c>
      <c r="E76" s="2" t="s">
        <v>25</v>
      </c>
      <c r="F76" s="2" t="s">
        <v>34</v>
      </c>
      <c r="G76" s="2" t="s">
        <v>42</v>
      </c>
      <c r="H76" s="2" t="s">
        <v>36</v>
      </c>
      <c r="I76" s="2">
        <v>4</v>
      </c>
      <c r="J76" s="2">
        <v>2220.46</v>
      </c>
      <c r="K76" s="2">
        <v>0</v>
      </c>
      <c r="L76" s="2">
        <v>8881.84</v>
      </c>
    </row>
    <row r="77" spans="1:12" x14ac:dyDescent="0.35">
      <c r="A77" s="2">
        <v>10076</v>
      </c>
      <c r="B77" s="2">
        <v>1091</v>
      </c>
      <c r="C77" s="2" t="s">
        <v>18</v>
      </c>
      <c r="D77" s="2" t="s">
        <v>13</v>
      </c>
      <c r="E77" s="2" t="s">
        <v>25</v>
      </c>
      <c r="F77" s="2" t="s">
        <v>29</v>
      </c>
      <c r="G77" s="2" t="s">
        <v>26</v>
      </c>
      <c r="H77" s="2" t="s">
        <v>27</v>
      </c>
      <c r="I77" s="2">
        <v>5</v>
      </c>
      <c r="J77" s="2">
        <v>1220.68</v>
      </c>
      <c r="K77" s="2">
        <v>20</v>
      </c>
      <c r="L77" s="2">
        <v>4882.72</v>
      </c>
    </row>
    <row r="78" spans="1:12" x14ac:dyDescent="0.35">
      <c r="A78" s="2">
        <v>10077</v>
      </c>
      <c r="B78" s="2">
        <v>1366</v>
      </c>
      <c r="C78" s="2" t="s">
        <v>18</v>
      </c>
      <c r="D78" s="2" t="s">
        <v>41</v>
      </c>
      <c r="E78" s="2" t="s">
        <v>25</v>
      </c>
      <c r="F78" s="2" t="s">
        <v>21</v>
      </c>
      <c r="G78" s="2" t="s">
        <v>26</v>
      </c>
      <c r="H78" s="2" t="s">
        <v>36</v>
      </c>
      <c r="I78" s="2">
        <v>3</v>
      </c>
      <c r="J78" s="2">
        <v>985.28</v>
      </c>
      <c r="K78" s="2">
        <v>10</v>
      </c>
      <c r="L78" s="2">
        <v>2660.26</v>
      </c>
    </row>
    <row r="79" spans="1:12" x14ac:dyDescent="0.35">
      <c r="A79" s="2">
        <v>10078</v>
      </c>
      <c r="B79" s="2">
        <v>1955</v>
      </c>
      <c r="C79" s="2" t="s">
        <v>32</v>
      </c>
      <c r="D79" s="2" t="s">
        <v>19</v>
      </c>
      <c r="E79" s="2" t="s">
        <v>20</v>
      </c>
      <c r="F79" s="2" t="s">
        <v>29</v>
      </c>
      <c r="G79" s="2" t="s">
        <v>40</v>
      </c>
      <c r="H79" s="2" t="s">
        <v>23</v>
      </c>
      <c r="I79" s="2">
        <v>6</v>
      </c>
      <c r="J79" s="2">
        <v>1258.82</v>
      </c>
      <c r="K79" s="2">
        <v>15</v>
      </c>
      <c r="L79" s="2">
        <v>6419.98</v>
      </c>
    </row>
    <row r="80" spans="1:12" x14ac:dyDescent="0.35">
      <c r="A80" s="2">
        <v>10079</v>
      </c>
      <c r="B80" s="2">
        <v>1454</v>
      </c>
      <c r="C80" s="2" t="s">
        <v>28</v>
      </c>
      <c r="D80" s="2" t="s">
        <v>13</v>
      </c>
      <c r="E80" s="2" t="s">
        <v>25</v>
      </c>
      <c r="F80" s="2" t="s">
        <v>29</v>
      </c>
      <c r="G80" s="2" t="s">
        <v>26</v>
      </c>
      <c r="H80" s="2" t="s">
        <v>27</v>
      </c>
      <c r="I80" s="2">
        <v>5</v>
      </c>
      <c r="J80" s="2">
        <v>2291.86</v>
      </c>
      <c r="K80" s="2">
        <v>15</v>
      </c>
      <c r="L80" s="2">
        <v>9740.4</v>
      </c>
    </row>
    <row r="81" spans="1:12" x14ac:dyDescent="0.35">
      <c r="A81" s="2">
        <v>10080</v>
      </c>
      <c r="B81" s="2">
        <v>1427</v>
      </c>
      <c r="C81" s="2" t="s">
        <v>12</v>
      </c>
      <c r="D81" s="2" t="s">
        <v>41</v>
      </c>
      <c r="E81" s="2" t="s">
        <v>14</v>
      </c>
      <c r="F81" s="2" t="s">
        <v>21</v>
      </c>
      <c r="G81" s="2" t="s">
        <v>40</v>
      </c>
      <c r="H81" s="2" t="s">
        <v>23</v>
      </c>
      <c r="I81" s="2">
        <v>3</v>
      </c>
      <c r="J81" s="2">
        <v>262.25</v>
      </c>
      <c r="K81" s="2">
        <v>10</v>
      </c>
      <c r="L81" s="2">
        <v>708.07</v>
      </c>
    </row>
    <row r="82" spans="1:12" x14ac:dyDescent="0.35">
      <c r="A82" s="2">
        <v>10081</v>
      </c>
      <c r="B82" s="2">
        <v>1508</v>
      </c>
      <c r="C82" s="2" t="s">
        <v>37</v>
      </c>
      <c r="D82" s="2" t="s">
        <v>13</v>
      </c>
      <c r="E82" s="2" t="s">
        <v>25</v>
      </c>
      <c r="F82" s="2" t="s">
        <v>15</v>
      </c>
      <c r="G82" s="2" t="s">
        <v>22</v>
      </c>
      <c r="H82" s="2" t="s">
        <v>38</v>
      </c>
      <c r="I82" s="2">
        <v>6</v>
      </c>
      <c r="J82" s="2">
        <v>3642.91</v>
      </c>
      <c r="K82" s="2">
        <v>0</v>
      </c>
      <c r="L82" s="2">
        <v>21857.46</v>
      </c>
    </row>
    <row r="83" spans="1:12" x14ac:dyDescent="0.35">
      <c r="A83" s="2">
        <v>10082</v>
      </c>
      <c r="B83" s="2">
        <v>1775</v>
      </c>
      <c r="C83" s="2" t="s">
        <v>37</v>
      </c>
      <c r="D83" s="2" t="s">
        <v>31</v>
      </c>
      <c r="E83" s="2" t="s">
        <v>20</v>
      </c>
      <c r="F83" s="2" t="s">
        <v>34</v>
      </c>
      <c r="G83" s="2" t="s">
        <v>39</v>
      </c>
      <c r="H83" s="2" t="s">
        <v>38</v>
      </c>
      <c r="I83" s="2">
        <v>6</v>
      </c>
      <c r="J83" s="2">
        <v>751.69</v>
      </c>
      <c r="K83" s="2">
        <v>0</v>
      </c>
      <c r="L83" s="2">
        <v>4510.1400000000003</v>
      </c>
    </row>
    <row r="84" spans="1:12" x14ac:dyDescent="0.35">
      <c r="A84" s="2">
        <v>10083</v>
      </c>
      <c r="B84" s="2">
        <v>1942</v>
      </c>
      <c r="C84" s="2" t="s">
        <v>30</v>
      </c>
      <c r="D84" s="2" t="s">
        <v>19</v>
      </c>
      <c r="E84" s="2" t="s">
        <v>14</v>
      </c>
      <c r="F84" s="2" t="s">
        <v>21</v>
      </c>
      <c r="G84" s="2" t="s">
        <v>42</v>
      </c>
      <c r="H84" s="2" t="s">
        <v>17</v>
      </c>
      <c r="I84" s="2">
        <v>8</v>
      </c>
      <c r="J84" s="2">
        <v>997.34</v>
      </c>
      <c r="K84" s="2">
        <v>5</v>
      </c>
      <c r="L84" s="2">
        <v>7579.78</v>
      </c>
    </row>
    <row r="85" spans="1:12" x14ac:dyDescent="0.35">
      <c r="A85" s="2">
        <v>10084</v>
      </c>
      <c r="B85" s="2">
        <v>1034</v>
      </c>
      <c r="C85" s="2" t="s">
        <v>32</v>
      </c>
      <c r="D85" s="2" t="s">
        <v>24</v>
      </c>
      <c r="E85" s="2" t="s">
        <v>25</v>
      </c>
      <c r="F85" s="2" t="s">
        <v>35</v>
      </c>
      <c r="G85" s="2" t="s">
        <v>40</v>
      </c>
      <c r="H85" s="2" t="s">
        <v>27</v>
      </c>
      <c r="I85" s="2">
        <v>2</v>
      </c>
      <c r="J85" s="2">
        <v>2145.36</v>
      </c>
      <c r="K85" s="2">
        <v>20</v>
      </c>
      <c r="L85" s="2">
        <v>3432.58</v>
      </c>
    </row>
    <row r="86" spans="1:12" x14ac:dyDescent="0.35">
      <c r="A86" s="2">
        <v>10085</v>
      </c>
      <c r="B86" s="2">
        <v>1205</v>
      </c>
      <c r="C86" s="2" t="s">
        <v>37</v>
      </c>
      <c r="D86" s="2" t="s">
        <v>13</v>
      </c>
      <c r="E86" s="2" t="s">
        <v>25</v>
      </c>
      <c r="F86" s="2" t="s">
        <v>15</v>
      </c>
      <c r="G86" s="2" t="s">
        <v>39</v>
      </c>
      <c r="H86" s="2" t="s">
        <v>23</v>
      </c>
      <c r="I86" s="2">
        <v>1</v>
      </c>
      <c r="J86" s="2">
        <v>2883.94</v>
      </c>
      <c r="K86" s="2">
        <v>20</v>
      </c>
      <c r="L86" s="2">
        <v>2307.15</v>
      </c>
    </row>
    <row r="87" spans="1:12" x14ac:dyDescent="0.35">
      <c r="A87" s="2">
        <v>10086</v>
      </c>
      <c r="B87" s="2">
        <v>1080</v>
      </c>
      <c r="C87" s="2" t="s">
        <v>28</v>
      </c>
      <c r="D87" s="2" t="s">
        <v>31</v>
      </c>
      <c r="E87" s="2" t="s">
        <v>25</v>
      </c>
      <c r="F87" s="2" t="s">
        <v>35</v>
      </c>
      <c r="G87" s="2" t="s">
        <v>26</v>
      </c>
      <c r="H87" s="2" t="s">
        <v>36</v>
      </c>
      <c r="I87" s="2">
        <v>4</v>
      </c>
      <c r="J87" s="2">
        <v>518.55999999999995</v>
      </c>
      <c r="K87" s="2">
        <v>20</v>
      </c>
      <c r="L87" s="2">
        <v>1659.39</v>
      </c>
    </row>
    <row r="88" spans="1:12" x14ac:dyDescent="0.35">
      <c r="A88" s="2">
        <v>10087</v>
      </c>
      <c r="B88" s="2">
        <v>1931</v>
      </c>
      <c r="C88" s="2" t="s">
        <v>32</v>
      </c>
      <c r="D88" s="2" t="s">
        <v>24</v>
      </c>
      <c r="E88" s="2" t="s">
        <v>14</v>
      </c>
      <c r="F88" s="2" t="s">
        <v>15</v>
      </c>
      <c r="G88" s="2" t="s">
        <v>26</v>
      </c>
      <c r="H88" s="2" t="s">
        <v>38</v>
      </c>
      <c r="I88" s="2">
        <v>7</v>
      </c>
      <c r="J88" s="2">
        <v>1373.12</v>
      </c>
      <c r="K88" s="2">
        <v>5</v>
      </c>
      <c r="L88" s="2">
        <v>9131.25</v>
      </c>
    </row>
    <row r="89" spans="1:12" x14ac:dyDescent="0.35">
      <c r="A89" s="2">
        <v>10088</v>
      </c>
      <c r="B89" s="2">
        <v>1561</v>
      </c>
      <c r="C89" s="2" t="s">
        <v>28</v>
      </c>
      <c r="D89" s="2" t="s">
        <v>24</v>
      </c>
      <c r="E89" s="2" t="s">
        <v>14</v>
      </c>
      <c r="F89" s="2" t="s">
        <v>34</v>
      </c>
      <c r="G89" s="2" t="s">
        <v>39</v>
      </c>
      <c r="H89" s="2" t="s">
        <v>38</v>
      </c>
      <c r="I89" s="2">
        <v>3</v>
      </c>
      <c r="J89" s="2">
        <v>3879.4</v>
      </c>
      <c r="K89" s="2">
        <v>20</v>
      </c>
      <c r="L89" s="2">
        <v>9310.56</v>
      </c>
    </row>
    <row r="90" spans="1:12" x14ac:dyDescent="0.35">
      <c r="A90" s="2">
        <v>10089</v>
      </c>
      <c r="B90" s="2">
        <v>1871</v>
      </c>
      <c r="C90" s="2" t="s">
        <v>37</v>
      </c>
      <c r="D90" s="2" t="s">
        <v>13</v>
      </c>
      <c r="E90" s="2" t="s">
        <v>20</v>
      </c>
      <c r="F90" s="2" t="s">
        <v>34</v>
      </c>
      <c r="G90" s="2" t="s">
        <v>26</v>
      </c>
      <c r="H90" s="2" t="s">
        <v>36</v>
      </c>
      <c r="I90" s="2">
        <v>3</v>
      </c>
      <c r="J90" s="2">
        <v>1160.02</v>
      </c>
      <c r="K90" s="2">
        <v>10</v>
      </c>
      <c r="L90" s="2">
        <v>3132.05</v>
      </c>
    </row>
    <row r="91" spans="1:12" x14ac:dyDescent="0.35">
      <c r="A91" s="2">
        <v>10090</v>
      </c>
      <c r="B91" s="2">
        <v>1387</v>
      </c>
      <c r="C91" s="2" t="s">
        <v>37</v>
      </c>
      <c r="D91" s="2" t="s">
        <v>41</v>
      </c>
      <c r="E91" s="2" t="s">
        <v>14</v>
      </c>
      <c r="F91" s="2" t="s">
        <v>29</v>
      </c>
      <c r="G91" s="2" t="s">
        <v>22</v>
      </c>
      <c r="H91" s="2" t="s">
        <v>23</v>
      </c>
      <c r="I91" s="2">
        <v>5</v>
      </c>
      <c r="J91" s="2">
        <v>1355.24</v>
      </c>
      <c r="K91" s="2">
        <v>5</v>
      </c>
      <c r="L91" s="2">
        <v>6437.39</v>
      </c>
    </row>
    <row r="92" spans="1:12" x14ac:dyDescent="0.35">
      <c r="A92" s="2">
        <v>10091</v>
      </c>
      <c r="B92" s="2">
        <v>1001</v>
      </c>
      <c r="C92" s="2" t="s">
        <v>30</v>
      </c>
      <c r="D92" s="2" t="s">
        <v>13</v>
      </c>
      <c r="E92" s="2" t="s">
        <v>14</v>
      </c>
      <c r="F92" s="2" t="s">
        <v>35</v>
      </c>
      <c r="G92" s="2" t="s">
        <v>22</v>
      </c>
      <c r="H92" s="2" t="s">
        <v>23</v>
      </c>
      <c r="I92" s="2">
        <v>5</v>
      </c>
      <c r="J92" s="2">
        <v>3370.52</v>
      </c>
      <c r="K92" s="2">
        <v>10</v>
      </c>
      <c r="L92" s="2">
        <v>15167.34</v>
      </c>
    </row>
    <row r="93" spans="1:12" x14ac:dyDescent="0.35">
      <c r="A93" s="2">
        <v>10092</v>
      </c>
      <c r="B93" s="2">
        <v>1389</v>
      </c>
      <c r="C93" s="2" t="s">
        <v>37</v>
      </c>
      <c r="D93" s="2" t="s">
        <v>31</v>
      </c>
      <c r="E93" s="2" t="s">
        <v>25</v>
      </c>
      <c r="F93" s="2" t="s">
        <v>15</v>
      </c>
      <c r="G93" s="2" t="s">
        <v>39</v>
      </c>
      <c r="H93" s="2" t="s">
        <v>27</v>
      </c>
      <c r="I93" s="2">
        <v>3</v>
      </c>
      <c r="J93" s="2">
        <v>343.33</v>
      </c>
      <c r="K93" s="2">
        <v>5</v>
      </c>
      <c r="L93" s="2">
        <v>978.49</v>
      </c>
    </row>
    <row r="94" spans="1:12" x14ac:dyDescent="0.35">
      <c r="A94" s="2">
        <v>10093</v>
      </c>
      <c r="B94" s="2">
        <v>1565</v>
      </c>
      <c r="C94" s="2" t="s">
        <v>32</v>
      </c>
      <c r="D94" s="2" t="s">
        <v>24</v>
      </c>
      <c r="E94" s="2" t="s">
        <v>14</v>
      </c>
      <c r="F94" s="2" t="s">
        <v>34</v>
      </c>
      <c r="G94" s="2" t="s">
        <v>40</v>
      </c>
      <c r="H94" s="2" t="s">
        <v>27</v>
      </c>
      <c r="I94" s="2">
        <v>9</v>
      </c>
      <c r="J94" s="2">
        <v>1938.76</v>
      </c>
      <c r="K94" s="2">
        <v>20</v>
      </c>
      <c r="L94" s="2">
        <v>13959.07</v>
      </c>
    </row>
    <row r="95" spans="1:12" x14ac:dyDescent="0.35">
      <c r="A95" s="2">
        <v>10094</v>
      </c>
      <c r="B95" s="2">
        <v>1105</v>
      </c>
      <c r="C95" s="2" t="s">
        <v>18</v>
      </c>
      <c r="D95" s="2" t="s">
        <v>13</v>
      </c>
      <c r="E95" s="2" t="s">
        <v>25</v>
      </c>
      <c r="F95" s="2" t="s">
        <v>21</v>
      </c>
      <c r="G95" s="2" t="s">
        <v>40</v>
      </c>
      <c r="H95" s="2" t="s">
        <v>17</v>
      </c>
      <c r="I95" s="2">
        <v>4</v>
      </c>
      <c r="J95" s="2">
        <v>1611.52</v>
      </c>
      <c r="K95" s="2">
        <v>10</v>
      </c>
      <c r="L95" s="2">
        <v>5801.47</v>
      </c>
    </row>
    <row r="96" spans="1:12" x14ac:dyDescent="0.35">
      <c r="A96" s="2">
        <v>10095</v>
      </c>
      <c r="B96" s="2">
        <v>1771</v>
      </c>
      <c r="C96" s="2" t="s">
        <v>32</v>
      </c>
      <c r="D96" s="2" t="s">
        <v>41</v>
      </c>
      <c r="E96" s="2" t="s">
        <v>25</v>
      </c>
      <c r="F96" s="2" t="s">
        <v>34</v>
      </c>
      <c r="G96" s="2" t="s">
        <v>39</v>
      </c>
      <c r="H96" s="2" t="s">
        <v>38</v>
      </c>
      <c r="I96" s="2">
        <v>3</v>
      </c>
      <c r="J96" s="2">
        <v>1368.86</v>
      </c>
      <c r="K96" s="2">
        <v>10</v>
      </c>
      <c r="L96" s="2">
        <v>3695.92</v>
      </c>
    </row>
    <row r="97" spans="1:12" x14ac:dyDescent="0.35">
      <c r="A97" s="2">
        <v>10096</v>
      </c>
      <c r="B97" s="2">
        <v>1821</v>
      </c>
      <c r="C97" s="2" t="s">
        <v>32</v>
      </c>
      <c r="D97" s="2" t="s">
        <v>13</v>
      </c>
      <c r="E97" s="2" t="s">
        <v>14</v>
      </c>
      <c r="F97" s="2" t="s">
        <v>21</v>
      </c>
      <c r="G97" s="2" t="s">
        <v>40</v>
      </c>
      <c r="H97" s="2" t="s">
        <v>27</v>
      </c>
      <c r="I97" s="2">
        <v>2</v>
      </c>
      <c r="J97" s="2">
        <v>1249.94</v>
      </c>
      <c r="K97" s="2">
        <v>10</v>
      </c>
      <c r="L97" s="2">
        <v>2249.89</v>
      </c>
    </row>
    <row r="98" spans="1:12" x14ac:dyDescent="0.35">
      <c r="A98" s="2">
        <v>10097</v>
      </c>
      <c r="B98" s="2">
        <v>1476</v>
      </c>
      <c r="C98" s="2" t="s">
        <v>30</v>
      </c>
      <c r="D98" s="2" t="s">
        <v>19</v>
      </c>
      <c r="E98" s="2" t="s">
        <v>20</v>
      </c>
      <c r="F98" s="2" t="s">
        <v>15</v>
      </c>
      <c r="G98" s="2" t="s">
        <v>40</v>
      </c>
      <c r="H98" s="2" t="s">
        <v>23</v>
      </c>
      <c r="I98" s="2">
        <v>9</v>
      </c>
      <c r="J98" s="2">
        <v>501.79</v>
      </c>
      <c r="K98" s="2">
        <v>5</v>
      </c>
      <c r="L98" s="2">
        <v>4290.3</v>
      </c>
    </row>
    <row r="99" spans="1:12" x14ac:dyDescent="0.35">
      <c r="A99" s="2">
        <v>10098</v>
      </c>
      <c r="B99" s="2">
        <v>1702</v>
      </c>
      <c r="C99" s="2" t="s">
        <v>30</v>
      </c>
      <c r="D99" s="2" t="s">
        <v>41</v>
      </c>
      <c r="E99" s="2" t="s">
        <v>20</v>
      </c>
      <c r="F99" s="2" t="s">
        <v>34</v>
      </c>
      <c r="G99" s="2" t="s">
        <v>22</v>
      </c>
      <c r="H99" s="2" t="s">
        <v>36</v>
      </c>
      <c r="I99" s="2">
        <v>4</v>
      </c>
      <c r="J99" s="2">
        <v>1362.08</v>
      </c>
      <c r="K99" s="2">
        <v>15</v>
      </c>
      <c r="L99" s="2">
        <v>4631.07</v>
      </c>
    </row>
    <row r="100" spans="1:12" x14ac:dyDescent="0.35">
      <c r="A100" s="2">
        <v>10099</v>
      </c>
      <c r="B100" s="2">
        <v>1401</v>
      </c>
      <c r="C100" s="2" t="s">
        <v>37</v>
      </c>
      <c r="D100" s="2" t="s">
        <v>31</v>
      </c>
      <c r="E100" s="2" t="s">
        <v>14</v>
      </c>
      <c r="F100" s="2" t="s">
        <v>34</v>
      </c>
      <c r="G100" s="2" t="s">
        <v>40</v>
      </c>
      <c r="H100" s="2" t="s">
        <v>23</v>
      </c>
      <c r="I100" s="2">
        <v>3</v>
      </c>
      <c r="J100" s="2">
        <v>315.75</v>
      </c>
      <c r="K100" s="2">
        <v>20</v>
      </c>
      <c r="L100" s="2">
        <v>757.8</v>
      </c>
    </row>
    <row r="101" spans="1:12" x14ac:dyDescent="0.35">
      <c r="A101" s="2">
        <v>10100</v>
      </c>
      <c r="B101" s="2">
        <v>1729</v>
      </c>
      <c r="C101" s="2" t="s">
        <v>13</v>
      </c>
      <c r="D101" s="2" t="s">
        <v>24</v>
      </c>
      <c r="E101" s="2" t="s">
        <v>20</v>
      </c>
      <c r="F101" s="2" t="s">
        <v>15</v>
      </c>
      <c r="G101" s="2" t="s">
        <v>16</v>
      </c>
      <c r="H101" s="2" t="s">
        <v>38</v>
      </c>
      <c r="I101" s="2">
        <v>7</v>
      </c>
      <c r="J101" s="2">
        <v>3156.71</v>
      </c>
      <c r="K101" s="2">
        <v>10</v>
      </c>
      <c r="L101" s="2">
        <v>19887.27</v>
      </c>
    </row>
    <row r="102" spans="1:12" x14ac:dyDescent="0.35">
      <c r="A102" s="2">
        <v>10101</v>
      </c>
      <c r="B102" s="2">
        <v>1555</v>
      </c>
      <c r="C102" s="2" t="s">
        <v>13</v>
      </c>
      <c r="D102" s="2" t="s">
        <v>13</v>
      </c>
      <c r="E102" s="2" t="s">
        <v>25</v>
      </c>
      <c r="F102" s="2" t="s">
        <v>34</v>
      </c>
      <c r="G102" s="2" t="s">
        <v>42</v>
      </c>
      <c r="H102" s="2" t="s">
        <v>23</v>
      </c>
      <c r="I102" s="2">
        <v>8</v>
      </c>
      <c r="J102" s="2">
        <v>1683.18</v>
      </c>
      <c r="K102" s="2">
        <v>15</v>
      </c>
      <c r="L102" s="2">
        <v>11445.62</v>
      </c>
    </row>
    <row r="103" spans="1:12" x14ac:dyDescent="0.35">
      <c r="A103" s="2">
        <v>10102</v>
      </c>
      <c r="B103" s="2">
        <v>1161</v>
      </c>
      <c r="C103" s="2" t="s">
        <v>30</v>
      </c>
      <c r="D103" s="2" t="s">
        <v>41</v>
      </c>
      <c r="E103" s="2" t="s">
        <v>25</v>
      </c>
      <c r="F103" s="2" t="s">
        <v>21</v>
      </c>
      <c r="G103" s="2" t="s">
        <v>26</v>
      </c>
      <c r="H103" s="2" t="s">
        <v>17</v>
      </c>
      <c r="I103" s="2">
        <v>2</v>
      </c>
      <c r="J103" s="2">
        <v>1859.03</v>
      </c>
      <c r="K103" s="2">
        <v>20</v>
      </c>
      <c r="L103" s="2">
        <v>2974.45</v>
      </c>
    </row>
    <row r="104" spans="1:12" x14ac:dyDescent="0.35">
      <c r="A104" s="2">
        <v>10103</v>
      </c>
      <c r="B104" s="2">
        <v>1201</v>
      </c>
      <c r="C104" s="2" t="s">
        <v>37</v>
      </c>
      <c r="D104" s="2" t="s">
        <v>19</v>
      </c>
      <c r="E104" s="2" t="s">
        <v>14</v>
      </c>
      <c r="F104" s="2" t="s">
        <v>34</v>
      </c>
      <c r="G104" s="2" t="s">
        <v>16</v>
      </c>
      <c r="H104" s="2" t="s">
        <v>38</v>
      </c>
      <c r="I104" s="2">
        <v>7</v>
      </c>
      <c r="J104" s="2">
        <v>3590.34</v>
      </c>
      <c r="K104" s="2">
        <v>20</v>
      </c>
      <c r="L104" s="2">
        <v>20105.900000000001</v>
      </c>
    </row>
    <row r="105" spans="1:12" x14ac:dyDescent="0.35">
      <c r="A105" s="2">
        <v>10104</v>
      </c>
      <c r="B105" s="2">
        <v>1957</v>
      </c>
      <c r="C105" s="2" t="s">
        <v>13</v>
      </c>
      <c r="D105" s="2" t="s">
        <v>41</v>
      </c>
      <c r="E105" s="2" t="s">
        <v>20</v>
      </c>
      <c r="F105" s="2" t="s">
        <v>35</v>
      </c>
      <c r="G105" s="2" t="s">
        <v>40</v>
      </c>
      <c r="H105" s="2" t="s">
        <v>36</v>
      </c>
      <c r="I105" s="2">
        <v>5</v>
      </c>
      <c r="J105" s="2">
        <v>2683.51</v>
      </c>
      <c r="K105" s="2">
        <v>10</v>
      </c>
      <c r="L105" s="2">
        <v>12075.79</v>
      </c>
    </row>
    <row r="106" spans="1:12" x14ac:dyDescent="0.35">
      <c r="A106" s="2">
        <v>10105</v>
      </c>
      <c r="B106" s="2">
        <v>1995</v>
      </c>
      <c r="C106" s="2" t="s">
        <v>37</v>
      </c>
      <c r="D106" s="2" t="s">
        <v>33</v>
      </c>
      <c r="E106" s="2" t="s">
        <v>20</v>
      </c>
      <c r="F106" s="2" t="s">
        <v>29</v>
      </c>
      <c r="G106" s="2" t="s">
        <v>22</v>
      </c>
      <c r="H106" s="2" t="s">
        <v>17</v>
      </c>
      <c r="I106" s="2">
        <v>5</v>
      </c>
      <c r="J106" s="2">
        <v>181.03</v>
      </c>
      <c r="K106" s="2">
        <v>10</v>
      </c>
      <c r="L106" s="2">
        <v>814.63</v>
      </c>
    </row>
    <row r="107" spans="1:12" x14ac:dyDescent="0.35">
      <c r="A107" s="2">
        <v>10106</v>
      </c>
      <c r="B107" s="2">
        <v>1269</v>
      </c>
      <c r="C107" s="2" t="s">
        <v>37</v>
      </c>
      <c r="D107" s="2" t="s">
        <v>19</v>
      </c>
      <c r="E107" s="2" t="s">
        <v>25</v>
      </c>
      <c r="F107" s="2" t="s">
        <v>21</v>
      </c>
      <c r="G107" s="2" t="s">
        <v>39</v>
      </c>
      <c r="H107" s="2" t="s">
        <v>38</v>
      </c>
      <c r="I107" s="2">
        <v>3</v>
      </c>
      <c r="J107" s="2">
        <v>3781.22</v>
      </c>
      <c r="K107" s="2">
        <v>5</v>
      </c>
      <c r="L107" s="2">
        <v>10776.48</v>
      </c>
    </row>
    <row r="108" spans="1:12" x14ac:dyDescent="0.35">
      <c r="A108" s="2">
        <v>10107</v>
      </c>
      <c r="B108" s="2">
        <v>1862</v>
      </c>
      <c r="C108" s="2" t="s">
        <v>37</v>
      </c>
      <c r="D108" s="2" t="s">
        <v>31</v>
      </c>
      <c r="E108" s="2" t="s">
        <v>14</v>
      </c>
      <c r="F108" s="2" t="s">
        <v>35</v>
      </c>
      <c r="G108" s="2" t="s">
        <v>40</v>
      </c>
      <c r="H108" s="2" t="s">
        <v>36</v>
      </c>
      <c r="I108" s="2">
        <v>5</v>
      </c>
      <c r="J108" s="2">
        <v>1063.01</v>
      </c>
      <c r="K108" s="2">
        <v>15</v>
      </c>
      <c r="L108" s="2">
        <v>4517.79</v>
      </c>
    </row>
    <row r="109" spans="1:12" x14ac:dyDescent="0.35">
      <c r="A109" s="2">
        <v>10108</v>
      </c>
      <c r="B109" s="2">
        <v>1815</v>
      </c>
      <c r="C109" s="2" t="s">
        <v>12</v>
      </c>
      <c r="D109" s="2" t="s">
        <v>24</v>
      </c>
      <c r="E109" s="2" t="s">
        <v>20</v>
      </c>
      <c r="F109" s="2" t="s">
        <v>15</v>
      </c>
      <c r="G109" s="2" t="s">
        <v>22</v>
      </c>
      <c r="H109" s="2" t="s">
        <v>17</v>
      </c>
      <c r="I109" s="2">
        <v>2</v>
      </c>
      <c r="J109" s="2">
        <v>564.30999999999995</v>
      </c>
      <c r="K109" s="2">
        <v>15</v>
      </c>
      <c r="L109" s="2">
        <v>959.33</v>
      </c>
    </row>
    <row r="110" spans="1:12" x14ac:dyDescent="0.35">
      <c r="A110" s="2">
        <v>10109</v>
      </c>
      <c r="B110" s="2">
        <v>1270</v>
      </c>
      <c r="C110" s="2" t="s">
        <v>32</v>
      </c>
      <c r="D110" s="2" t="s">
        <v>31</v>
      </c>
      <c r="E110" s="2" t="s">
        <v>14</v>
      </c>
      <c r="F110" s="2" t="s">
        <v>21</v>
      </c>
      <c r="G110" s="2" t="s">
        <v>42</v>
      </c>
      <c r="H110" s="2" t="s">
        <v>17</v>
      </c>
      <c r="I110" s="2">
        <v>4</v>
      </c>
      <c r="J110" s="2">
        <v>3107.29</v>
      </c>
      <c r="K110" s="2">
        <v>10</v>
      </c>
      <c r="L110" s="2">
        <v>11186.24</v>
      </c>
    </row>
    <row r="111" spans="1:12" x14ac:dyDescent="0.35">
      <c r="A111" s="2">
        <v>10110</v>
      </c>
      <c r="B111" s="2">
        <v>1455</v>
      </c>
      <c r="C111" s="2" t="s">
        <v>37</v>
      </c>
      <c r="D111" s="2" t="s">
        <v>13</v>
      </c>
      <c r="E111" s="2" t="s">
        <v>20</v>
      </c>
      <c r="F111" s="2" t="s">
        <v>29</v>
      </c>
      <c r="G111" s="2" t="s">
        <v>40</v>
      </c>
      <c r="H111" s="2" t="s">
        <v>38</v>
      </c>
      <c r="I111" s="2">
        <v>6</v>
      </c>
      <c r="J111" s="2">
        <v>2076.84</v>
      </c>
      <c r="K111" s="2">
        <v>20</v>
      </c>
      <c r="L111" s="2">
        <v>9968.83</v>
      </c>
    </row>
    <row r="112" spans="1:12" x14ac:dyDescent="0.35">
      <c r="A112" s="2">
        <v>10111</v>
      </c>
      <c r="B112" s="2">
        <v>1461</v>
      </c>
      <c r="C112" s="2" t="s">
        <v>12</v>
      </c>
      <c r="D112" s="2" t="s">
        <v>41</v>
      </c>
      <c r="E112" s="2" t="s">
        <v>25</v>
      </c>
      <c r="F112" s="2" t="s">
        <v>29</v>
      </c>
      <c r="G112" s="2" t="s">
        <v>39</v>
      </c>
      <c r="H112" s="2" t="s">
        <v>27</v>
      </c>
      <c r="I112" s="2">
        <v>1</v>
      </c>
      <c r="J112" s="2">
        <v>1820.02</v>
      </c>
      <c r="K112" s="2">
        <v>10</v>
      </c>
      <c r="L112" s="2">
        <v>1638.02</v>
      </c>
    </row>
    <row r="113" spans="1:12" x14ac:dyDescent="0.35">
      <c r="A113" s="2">
        <v>10112</v>
      </c>
      <c r="B113" s="2">
        <v>1726</v>
      </c>
      <c r="C113" s="2" t="s">
        <v>30</v>
      </c>
      <c r="D113" s="2" t="s">
        <v>33</v>
      </c>
      <c r="E113" s="2" t="s">
        <v>25</v>
      </c>
      <c r="F113" s="2" t="s">
        <v>15</v>
      </c>
      <c r="G113" s="2" t="s">
        <v>22</v>
      </c>
      <c r="H113" s="2" t="s">
        <v>17</v>
      </c>
      <c r="I113" s="2">
        <v>4</v>
      </c>
      <c r="J113" s="2">
        <v>1110.5899999999999</v>
      </c>
      <c r="K113" s="2">
        <v>20</v>
      </c>
      <c r="L113" s="2">
        <v>3553.89</v>
      </c>
    </row>
    <row r="114" spans="1:12" x14ac:dyDescent="0.35">
      <c r="A114" s="2">
        <v>10113</v>
      </c>
      <c r="B114" s="2">
        <v>1251</v>
      </c>
      <c r="C114" s="2" t="s">
        <v>13</v>
      </c>
      <c r="D114" s="2" t="s">
        <v>19</v>
      </c>
      <c r="E114" s="2" t="s">
        <v>14</v>
      </c>
      <c r="F114" s="2" t="s">
        <v>15</v>
      </c>
      <c r="G114" s="2" t="s">
        <v>22</v>
      </c>
      <c r="H114" s="2" t="s">
        <v>17</v>
      </c>
      <c r="I114" s="2">
        <v>6</v>
      </c>
      <c r="J114" s="2">
        <v>2257.77</v>
      </c>
      <c r="K114" s="2">
        <v>20</v>
      </c>
      <c r="L114" s="2">
        <v>10837.3</v>
      </c>
    </row>
    <row r="115" spans="1:12" x14ac:dyDescent="0.35">
      <c r="A115" s="2">
        <v>10114</v>
      </c>
      <c r="B115" s="2">
        <v>1701</v>
      </c>
      <c r="C115" s="2" t="s">
        <v>32</v>
      </c>
      <c r="D115" s="2" t="s">
        <v>19</v>
      </c>
      <c r="E115" s="2" t="s">
        <v>25</v>
      </c>
      <c r="F115" s="2" t="s">
        <v>21</v>
      </c>
      <c r="G115" s="2" t="s">
        <v>22</v>
      </c>
      <c r="H115" s="2" t="s">
        <v>36</v>
      </c>
      <c r="I115" s="2">
        <v>9</v>
      </c>
      <c r="J115" s="2">
        <v>1206.3800000000001</v>
      </c>
      <c r="K115" s="2">
        <v>10</v>
      </c>
      <c r="L115" s="2">
        <v>9771.68</v>
      </c>
    </row>
    <row r="116" spans="1:12" x14ac:dyDescent="0.35">
      <c r="A116" s="2">
        <v>10115</v>
      </c>
      <c r="B116" s="2">
        <v>1295</v>
      </c>
      <c r="C116" s="2" t="s">
        <v>18</v>
      </c>
      <c r="D116" s="2" t="s">
        <v>41</v>
      </c>
      <c r="E116" s="2" t="s">
        <v>20</v>
      </c>
      <c r="F116" s="2" t="s">
        <v>34</v>
      </c>
      <c r="G116" s="2" t="s">
        <v>42</v>
      </c>
      <c r="H116" s="2" t="s">
        <v>23</v>
      </c>
      <c r="I116" s="2">
        <v>2</v>
      </c>
      <c r="J116" s="2">
        <v>3621.09</v>
      </c>
      <c r="K116" s="2">
        <v>0</v>
      </c>
      <c r="L116" s="2">
        <v>7242.18</v>
      </c>
    </row>
    <row r="117" spans="1:12" x14ac:dyDescent="0.35">
      <c r="A117" s="2">
        <v>10116</v>
      </c>
      <c r="B117" s="2">
        <v>1724</v>
      </c>
      <c r="C117" s="2" t="s">
        <v>13</v>
      </c>
      <c r="D117" s="2" t="s">
        <v>33</v>
      </c>
      <c r="E117" s="2" t="s">
        <v>25</v>
      </c>
      <c r="F117" s="2" t="s">
        <v>15</v>
      </c>
      <c r="G117" s="2" t="s">
        <v>40</v>
      </c>
      <c r="H117" s="2" t="s">
        <v>38</v>
      </c>
      <c r="I117" s="2">
        <v>7</v>
      </c>
      <c r="J117" s="2">
        <v>978.54</v>
      </c>
      <c r="K117" s="2">
        <v>15</v>
      </c>
      <c r="L117" s="2">
        <v>5822.31</v>
      </c>
    </row>
    <row r="118" spans="1:12" x14ac:dyDescent="0.35">
      <c r="A118" s="2">
        <v>10117</v>
      </c>
      <c r="B118" s="2">
        <v>1719</v>
      </c>
      <c r="C118" s="2" t="s">
        <v>32</v>
      </c>
      <c r="D118" s="2" t="s">
        <v>41</v>
      </c>
      <c r="E118" s="2" t="s">
        <v>14</v>
      </c>
      <c r="F118" s="2" t="s">
        <v>34</v>
      </c>
      <c r="G118" s="2" t="s">
        <v>42</v>
      </c>
      <c r="H118" s="2" t="s">
        <v>38</v>
      </c>
      <c r="I118" s="2">
        <v>6</v>
      </c>
      <c r="J118" s="2">
        <v>3554.77</v>
      </c>
      <c r="K118" s="2">
        <v>20</v>
      </c>
      <c r="L118" s="2">
        <v>17062.900000000001</v>
      </c>
    </row>
    <row r="119" spans="1:12" x14ac:dyDescent="0.35">
      <c r="A119" s="2">
        <v>10118</v>
      </c>
      <c r="B119" s="2">
        <v>1748</v>
      </c>
      <c r="C119" s="2" t="s">
        <v>18</v>
      </c>
      <c r="D119" s="2" t="s">
        <v>13</v>
      </c>
      <c r="E119" s="2" t="s">
        <v>14</v>
      </c>
      <c r="F119" s="2" t="s">
        <v>35</v>
      </c>
      <c r="G119" s="2" t="s">
        <v>26</v>
      </c>
      <c r="H119" s="2" t="s">
        <v>27</v>
      </c>
      <c r="I119" s="2">
        <v>2</v>
      </c>
      <c r="J119" s="2">
        <v>2303.71</v>
      </c>
      <c r="K119" s="2">
        <v>20</v>
      </c>
      <c r="L119" s="2">
        <v>3685.94</v>
      </c>
    </row>
    <row r="120" spans="1:12" x14ac:dyDescent="0.35">
      <c r="A120" s="2">
        <v>10119</v>
      </c>
      <c r="B120" s="2">
        <v>1337</v>
      </c>
      <c r="C120" s="2" t="s">
        <v>13</v>
      </c>
      <c r="D120" s="2" t="s">
        <v>31</v>
      </c>
      <c r="E120" s="2" t="s">
        <v>14</v>
      </c>
      <c r="F120" s="2" t="s">
        <v>29</v>
      </c>
      <c r="G120" s="2" t="s">
        <v>26</v>
      </c>
      <c r="H120" s="2" t="s">
        <v>27</v>
      </c>
      <c r="I120" s="2">
        <v>8</v>
      </c>
      <c r="J120" s="2">
        <v>3339.68</v>
      </c>
      <c r="K120" s="2">
        <v>0</v>
      </c>
      <c r="L120" s="2">
        <v>26717.439999999999</v>
      </c>
    </row>
    <row r="121" spans="1:12" x14ac:dyDescent="0.35">
      <c r="A121" s="2">
        <v>10120</v>
      </c>
      <c r="B121" s="2">
        <v>1878</v>
      </c>
      <c r="C121" s="2" t="s">
        <v>32</v>
      </c>
      <c r="D121" s="2" t="s">
        <v>19</v>
      </c>
      <c r="E121" s="2" t="s">
        <v>20</v>
      </c>
      <c r="F121" s="2" t="s">
        <v>34</v>
      </c>
      <c r="G121" s="2" t="s">
        <v>40</v>
      </c>
      <c r="H121" s="2" t="s">
        <v>38</v>
      </c>
      <c r="I121" s="2">
        <v>7</v>
      </c>
      <c r="J121" s="2">
        <v>2894.46</v>
      </c>
      <c r="K121" s="2">
        <v>5</v>
      </c>
      <c r="L121" s="2">
        <v>19248.16</v>
      </c>
    </row>
    <row r="122" spans="1:12" x14ac:dyDescent="0.35">
      <c r="A122" s="2">
        <v>10121</v>
      </c>
      <c r="B122" s="2">
        <v>1052</v>
      </c>
      <c r="C122" s="2" t="s">
        <v>13</v>
      </c>
      <c r="D122" s="2" t="s">
        <v>13</v>
      </c>
      <c r="E122" s="2" t="s">
        <v>20</v>
      </c>
      <c r="F122" s="2" t="s">
        <v>29</v>
      </c>
      <c r="G122" s="2" t="s">
        <v>42</v>
      </c>
      <c r="H122" s="2" t="s">
        <v>27</v>
      </c>
      <c r="I122" s="2">
        <v>5</v>
      </c>
      <c r="J122" s="2">
        <v>2832.28</v>
      </c>
      <c r="K122" s="2">
        <v>0</v>
      </c>
      <c r="L122" s="2">
        <v>14161.4</v>
      </c>
    </row>
    <row r="123" spans="1:12" x14ac:dyDescent="0.35">
      <c r="A123" s="2">
        <v>10122</v>
      </c>
      <c r="B123" s="2">
        <v>1791</v>
      </c>
      <c r="C123" s="2" t="s">
        <v>13</v>
      </c>
      <c r="D123" s="2" t="s">
        <v>31</v>
      </c>
      <c r="E123" s="2" t="s">
        <v>20</v>
      </c>
      <c r="F123" s="2" t="s">
        <v>34</v>
      </c>
      <c r="G123" s="2" t="s">
        <v>39</v>
      </c>
      <c r="H123" s="2" t="s">
        <v>36</v>
      </c>
      <c r="I123" s="2">
        <v>5</v>
      </c>
      <c r="J123" s="2">
        <v>1398.73</v>
      </c>
      <c r="K123" s="2">
        <v>0</v>
      </c>
      <c r="L123" s="2">
        <v>6993.65</v>
      </c>
    </row>
    <row r="124" spans="1:12" x14ac:dyDescent="0.35">
      <c r="A124" s="2">
        <v>10123</v>
      </c>
      <c r="B124" s="2">
        <v>1921</v>
      </c>
      <c r="C124" s="2" t="s">
        <v>18</v>
      </c>
      <c r="D124" s="2" t="s">
        <v>13</v>
      </c>
      <c r="E124" s="2" t="s">
        <v>20</v>
      </c>
      <c r="F124" s="2" t="s">
        <v>35</v>
      </c>
      <c r="G124" s="2" t="s">
        <v>22</v>
      </c>
      <c r="H124" s="2" t="s">
        <v>38</v>
      </c>
      <c r="I124" s="2">
        <v>7</v>
      </c>
      <c r="J124" s="2">
        <v>1050.5</v>
      </c>
      <c r="K124" s="2">
        <v>20</v>
      </c>
      <c r="L124" s="2">
        <v>5882.8</v>
      </c>
    </row>
    <row r="125" spans="1:12" x14ac:dyDescent="0.35">
      <c r="A125" s="2">
        <v>10124</v>
      </c>
      <c r="B125" s="2">
        <v>1216</v>
      </c>
      <c r="C125" s="2" t="s">
        <v>13</v>
      </c>
      <c r="D125" s="2" t="s">
        <v>33</v>
      </c>
      <c r="E125" s="2" t="s">
        <v>20</v>
      </c>
      <c r="F125" s="2" t="s">
        <v>15</v>
      </c>
      <c r="G125" s="2" t="s">
        <v>22</v>
      </c>
      <c r="H125" s="2" t="s">
        <v>27</v>
      </c>
      <c r="I125" s="2">
        <v>9</v>
      </c>
      <c r="J125" s="2">
        <v>961.91</v>
      </c>
      <c r="K125" s="2">
        <v>15</v>
      </c>
      <c r="L125" s="2">
        <v>7358.61</v>
      </c>
    </row>
    <row r="126" spans="1:12" x14ac:dyDescent="0.35">
      <c r="A126" s="2">
        <v>10125</v>
      </c>
      <c r="B126" s="2">
        <v>1763</v>
      </c>
      <c r="C126" s="2" t="s">
        <v>13</v>
      </c>
      <c r="D126" s="2" t="s">
        <v>19</v>
      </c>
      <c r="E126" s="2" t="s">
        <v>25</v>
      </c>
      <c r="F126" s="2" t="s">
        <v>35</v>
      </c>
      <c r="G126" s="2" t="s">
        <v>40</v>
      </c>
      <c r="H126" s="2" t="s">
        <v>38</v>
      </c>
      <c r="I126" s="2">
        <v>9</v>
      </c>
      <c r="J126" s="2">
        <v>3450.19</v>
      </c>
      <c r="K126" s="2">
        <v>0</v>
      </c>
      <c r="L126" s="2">
        <v>31051.71</v>
      </c>
    </row>
    <row r="127" spans="1:12" x14ac:dyDescent="0.35">
      <c r="A127" s="2">
        <v>10126</v>
      </c>
      <c r="B127" s="2">
        <v>1187</v>
      </c>
      <c r="C127" s="2" t="s">
        <v>18</v>
      </c>
      <c r="D127" s="2" t="s">
        <v>41</v>
      </c>
      <c r="E127" s="2" t="s">
        <v>20</v>
      </c>
      <c r="F127" s="2" t="s">
        <v>15</v>
      </c>
      <c r="G127" s="2" t="s">
        <v>26</v>
      </c>
      <c r="H127" s="2" t="s">
        <v>23</v>
      </c>
      <c r="I127" s="2">
        <v>9</v>
      </c>
      <c r="J127" s="2">
        <v>3308.64</v>
      </c>
      <c r="K127" s="2">
        <v>5</v>
      </c>
      <c r="L127" s="2">
        <v>28288.87</v>
      </c>
    </row>
    <row r="128" spans="1:12" x14ac:dyDescent="0.35">
      <c r="A128" s="2">
        <v>10127</v>
      </c>
      <c r="B128" s="2">
        <v>1379</v>
      </c>
      <c r="C128" s="2" t="s">
        <v>30</v>
      </c>
      <c r="D128" s="2" t="s">
        <v>41</v>
      </c>
      <c r="E128" s="2" t="s">
        <v>20</v>
      </c>
      <c r="F128" s="2" t="s">
        <v>15</v>
      </c>
      <c r="G128" s="2" t="s">
        <v>26</v>
      </c>
      <c r="H128" s="2" t="s">
        <v>17</v>
      </c>
      <c r="I128" s="2">
        <v>6</v>
      </c>
      <c r="J128" s="2">
        <v>1846.21</v>
      </c>
      <c r="K128" s="2">
        <v>10</v>
      </c>
      <c r="L128" s="2">
        <v>9969.5300000000007</v>
      </c>
    </row>
    <row r="129" spans="1:12" x14ac:dyDescent="0.35">
      <c r="A129" s="2">
        <v>10128</v>
      </c>
      <c r="B129" s="2">
        <v>1492</v>
      </c>
      <c r="C129" s="2" t="s">
        <v>37</v>
      </c>
      <c r="D129" s="2" t="s">
        <v>31</v>
      </c>
      <c r="E129" s="2" t="s">
        <v>25</v>
      </c>
      <c r="F129" s="2" t="s">
        <v>29</v>
      </c>
      <c r="G129" s="2" t="s">
        <v>22</v>
      </c>
      <c r="H129" s="2" t="s">
        <v>38</v>
      </c>
      <c r="I129" s="2">
        <v>6</v>
      </c>
      <c r="J129" s="2">
        <v>659.76</v>
      </c>
      <c r="K129" s="2">
        <v>0</v>
      </c>
      <c r="L129" s="2">
        <v>3958.56</v>
      </c>
    </row>
    <row r="130" spans="1:12" x14ac:dyDescent="0.35">
      <c r="A130" s="2">
        <v>10129</v>
      </c>
      <c r="B130" s="2">
        <v>1040</v>
      </c>
      <c r="C130" s="2" t="s">
        <v>28</v>
      </c>
      <c r="D130" s="2" t="s">
        <v>24</v>
      </c>
      <c r="E130" s="2" t="s">
        <v>20</v>
      </c>
      <c r="F130" s="2" t="s">
        <v>35</v>
      </c>
      <c r="G130" s="2" t="s">
        <v>40</v>
      </c>
      <c r="H130" s="2" t="s">
        <v>17</v>
      </c>
      <c r="I130" s="2">
        <v>3</v>
      </c>
      <c r="J130" s="2">
        <v>1621.67</v>
      </c>
      <c r="K130" s="2">
        <v>0</v>
      </c>
      <c r="L130" s="2">
        <v>4865.01</v>
      </c>
    </row>
    <row r="131" spans="1:12" x14ac:dyDescent="0.35">
      <c r="A131" s="2">
        <v>10130</v>
      </c>
      <c r="B131" s="2">
        <v>1156</v>
      </c>
      <c r="C131" s="2" t="s">
        <v>12</v>
      </c>
      <c r="D131" s="2" t="s">
        <v>33</v>
      </c>
      <c r="E131" s="2" t="s">
        <v>14</v>
      </c>
      <c r="F131" s="2" t="s">
        <v>34</v>
      </c>
      <c r="G131" s="2" t="s">
        <v>42</v>
      </c>
      <c r="H131" s="2" t="s">
        <v>27</v>
      </c>
      <c r="I131" s="2">
        <v>1</v>
      </c>
      <c r="J131" s="2">
        <v>2534.4699999999998</v>
      </c>
      <c r="K131" s="2">
        <v>5</v>
      </c>
      <c r="L131" s="2">
        <v>2407.75</v>
      </c>
    </row>
    <row r="132" spans="1:12" x14ac:dyDescent="0.35">
      <c r="A132" s="2">
        <v>10131</v>
      </c>
      <c r="B132" s="2">
        <v>1014</v>
      </c>
      <c r="C132" s="2" t="s">
        <v>28</v>
      </c>
      <c r="D132" s="2" t="s">
        <v>31</v>
      </c>
      <c r="E132" s="2" t="s">
        <v>20</v>
      </c>
      <c r="F132" s="2" t="s">
        <v>35</v>
      </c>
      <c r="G132" s="2" t="s">
        <v>26</v>
      </c>
      <c r="H132" s="2" t="s">
        <v>17</v>
      </c>
      <c r="I132" s="2">
        <v>7</v>
      </c>
      <c r="J132" s="2">
        <v>1899.45</v>
      </c>
      <c r="K132" s="2">
        <v>15</v>
      </c>
      <c r="L132" s="2">
        <v>11301.73</v>
      </c>
    </row>
    <row r="133" spans="1:12" x14ac:dyDescent="0.35">
      <c r="A133" s="2">
        <v>10132</v>
      </c>
      <c r="B133" s="2">
        <v>1812</v>
      </c>
      <c r="C133" s="2" t="s">
        <v>28</v>
      </c>
      <c r="D133" s="2" t="s">
        <v>24</v>
      </c>
      <c r="E133" s="2" t="s">
        <v>20</v>
      </c>
      <c r="F133" s="2" t="s">
        <v>29</v>
      </c>
      <c r="G133" s="2" t="s">
        <v>42</v>
      </c>
      <c r="H133" s="2" t="s">
        <v>38</v>
      </c>
      <c r="I133" s="2">
        <v>4</v>
      </c>
      <c r="J133" s="2">
        <v>3153.73</v>
      </c>
      <c r="K133" s="2">
        <v>0</v>
      </c>
      <c r="L133" s="2">
        <v>12614.92</v>
      </c>
    </row>
    <row r="134" spans="1:12" x14ac:dyDescent="0.35">
      <c r="A134" s="2">
        <v>10133</v>
      </c>
      <c r="B134" s="2">
        <v>1064</v>
      </c>
      <c r="C134" s="2" t="s">
        <v>32</v>
      </c>
      <c r="D134" s="2" t="s">
        <v>13</v>
      </c>
      <c r="E134" s="2" t="s">
        <v>14</v>
      </c>
      <c r="F134" s="2" t="s">
        <v>15</v>
      </c>
      <c r="G134" s="2" t="s">
        <v>26</v>
      </c>
      <c r="H134" s="2" t="s">
        <v>23</v>
      </c>
      <c r="I134" s="2">
        <v>1</v>
      </c>
      <c r="J134" s="2">
        <v>3990.85</v>
      </c>
      <c r="K134" s="2">
        <v>0</v>
      </c>
      <c r="L134" s="2">
        <v>3990.85</v>
      </c>
    </row>
    <row r="135" spans="1:12" x14ac:dyDescent="0.35">
      <c r="A135" s="2">
        <v>10134</v>
      </c>
      <c r="B135" s="2">
        <v>1856</v>
      </c>
      <c r="C135" s="2" t="s">
        <v>37</v>
      </c>
      <c r="D135" s="2" t="s">
        <v>33</v>
      </c>
      <c r="E135" s="2" t="s">
        <v>14</v>
      </c>
      <c r="F135" s="2" t="s">
        <v>29</v>
      </c>
      <c r="G135" s="2" t="s">
        <v>26</v>
      </c>
      <c r="H135" s="2" t="s">
        <v>27</v>
      </c>
      <c r="I135" s="2">
        <v>8</v>
      </c>
      <c r="J135" s="2">
        <v>885.86</v>
      </c>
      <c r="K135" s="2">
        <v>15</v>
      </c>
      <c r="L135" s="2">
        <v>6023.85</v>
      </c>
    </row>
    <row r="136" spans="1:12" x14ac:dyDescent="0.35">
      <c r="A136" s="2">
        <v>10135</v>
      </c>
      <c r="B136" s="2">
        <v>1838</v>
      </c>
      <c r="C136" s="2" t="s">
        <v>32</v>
      </c>
      <c r="D136" s="2" t="s">
        <v>13</v>
      </c>
      <c r="E136" s="2" t="s">
        <v>14</v>
      </c>
      <c r="F136" s="2" t="s">
        <v>21</v>
      </c>
      <c r="G136" s="2" t="s">
        <v>16</v>
      </c>
      <c r="H136" s="2" t="s">
        <v>38</v>
      </c>
      <c r="I136" s="2">
        <v>6</v>
      </c>
      <c r="J136" s="2">
        <v>1919.66</v>
      </c>
      <c r="K136" s="2">
        <v>5</v>
      </c>
      <c r="L136" s="2">
        <v>10942.06</v>
      </c>
    </row>
    <row r="137" spans="1:12" x14ac:dyDescent="0.35">
      <c r="A137" s="2">
        <v>10136</v>
      </c>
      <c r="B137" s="2">
        <v>1520</v>
      </c>
      <c r="C137" s="2" t="s">
        <v>37</v>
      </c>
      <c r="D137" s="2" t="s">
        <v>19</v>
      </c>
      <c r="E137" s="2" t="s">
        <v>14</v>
      </c>
      <c r="F137" s="2" t="s">
        <v>21</v>
      </c>
      <c r="G137" s="2" t="s">
        <v>26</v>
      </c>
      <c r="H137" s="2" t="s">
        <v>27</v>
      </c>
      <c r="I137" s="2">
        <v>6</v>
      </c>
      <c r="J137" s="2">
        <v>1809.29</v>
      </c>
      <c r="K137" s="2">
        <v>0</v>
      </c>
      <c r="L137" s="2">
        <v>10855.74</v>
      </c>
    </row>
    <row r="138" spans="1:12" x14ac:dyDescent="0.35">
      <c r="A138" s="2">
        <v>10137</v>
      </c>
      <c r="B138" s="2">
        <v>1343</v>
      </c>
      <c r="C138" s="2" t="s">
        <v>18</v>
      </c>
      <c r="D138" s="2" t="s">
        <v>33</v>
      </c>
      <c r="E138" s="2" t="s">
        <v>20</v>
      </c>
      <c r="F138" s="2" t="s">
        <v>34</v>
      </c>
      <c r="G138" s="2" t="s">
        <v>39</v>
      </c>
      <c r="H138" s="2" t="s">
        <v>36</v>
      </c>
      <c r="I138" s="2">
        <v>2</v>
      </c>
      <c r="J138" s="2">
        <v>1322.3</v>
      </c>
      <c r="K138" s="2">
        <v>15</v>
      </c>
      <c r="L138" s="2">
        <v>2247.91</v>
      </c>
    </row>
    <row r="139" spans="1:12" x14ac:dyDescent="0.35">
      <c r="A139" s="2">
        <v>10138</v>
      </c>
      <c r="B139" s="2">
        <v>1128</v>
      </c>
      <c r="C139" s="2" t="s">
        <v>18</v>
      </c>
      <c r="D139" s="2" t="s">
        <v>24</v>
      </c>
      <c r="E139" s="2" t="s">
        <v>14</v>
      </c>
      <c r="F139" s="2" t="s">
        <v>29</v>
      </c>
      <c r="G139" s="2" t="s">
        <v>40</v>
      </c>
      <c r="H139" s="2" t="s">
        <v>17</v>
      </c>
      <c r="I139" s="2">
        <v>1</v>
      </c>
      <c r="J139" s="2">
        <v>912.67</v>
      </c>
      <c r="K139" s="2">
        <v>0</v>
      </c>
      <c r="L139" s="2">
        <v>912.67</v>
      </c>
    </row>
    <row r="140" spans="1:12" x14ac:dyDescent="0.35">
      <c r="A140" s="2">
        <v>10139</v>
      </c>
      <c r="B140" s="2">
        <v>1647</v>
      </c>
      <c r="C140" s="2" t="s">
        <v>37</v>
      </c>
      <c r="D140" s="2" t="s">
        <v>19</v>
      </c>
      <c r="E140" s="2" t="s">
        <v>14</v>
      </c>
      <c r="F140" s="2" t="s">
        <v>34</v>
      </c>
      <c r="G140" s="2" t="s">
        <v>40</v>
      </c>
      <c r="H140" s="2" t="s">
        <v>36</v>
      </c>
      <c r="I140" s="2">
        <v>2</v>
      </c>
      <c r="J140" s="2">
        <v>402.91</v>
      </c>
      <c r="K140" s="2">
        <v>10</v>
      </c>
      <c r="L140" s="2">
        <v>725.24</v>
      </c>
    </row>
    <row r="141" spans="1:12" x14ac:dyDescent="0.35">
      <c r="A141" s="2">
        <v>10140</v>
      </c>
      <c r="B141" s="2">
        <v>1471</v>
      </c>
      <c r="C141" s="2" t="s">
        <v>13</v>
      </c>
      <c r="D141" s="2" t="s">
        <v>41</v>
      </c>
      <c r="E141" s="2" t="s">
        <v>25</v>
      </c>
      <c r="F141" s="2" t="s">
        <v>34</v>
      </c>
      <c r="G141" s="2" t="s">
        <v>42</v>
      </c>
      <c r="H141" s="2" t="s">
        <v>38</v>
      </c>
      <c r="I141" s="2">
        <v>4</v>
      </c>
      <c r="J141" s="2">
        <v>3565.41</v>
      </c>
      <c r="K141" s="2">
        <v>20</v>
      </c>
      <c r="L141" s="2">
        <v>11409.31</v>
      </c>
    </row>
    <row r="142" spans="1:12" x14ac:dyDescent="0.35">
      <c r="A142" s="2">
        <v>10141</v>
      </c>
      <c r="B142" s="2">
        <v>1062</v>
      </c>
      <c r="C142" s="2" t="s">
        <v>30</v>
      </c>
      <c r="D142" s="2" t="s">
        <v>24</v>
      </c>
      <c r="E142" s="2" t="s">
        <v>14</v>
      </c>
      <c r="F142" s="2" t="s">
        <v>21</v>
      </c>
      <c r="G142" s="2" t="s">
        <v>26</v>
      </c>
      <c r="H142" s="2" t="s">
        <v>23</v>
      </c>
      <c r="I142" s="2">
        <v>2</v>
      </c>
      <c r="J142" s="2">
        <v>1766.42</v>
      </c>
      <c r="K142" s="2">
        <v>10</v>
      </c>
      <c r="L142" s="2">
        <v>3179.56</v>
      </c>
    </row>
    <row r="143" spans="1:12" x14ac:dyDescent="0.35">
      <c r="A143" s="2">
        <v>10142</v>
      </c>
      <c r="B143" s="2">
        <v>1138</v>
      </c>
      <c r="C143" s="2" t="s">
        <v>13</v>
      </c>
      <c r="D143" s="2" t="s">
        <v>31</v>
      </c>
      <c r="E143" s="2" t="s">
        <v>14</v>
      </c>
      <c r="F143" s="2" t="s">
        <v>34</v>
      </c>
      <c r="G143" s="2" t="s">
        <v>39</v>
      </c>
      <c r="H143" s="2" t="s">
        <v>27</v>
      </c>
      <c r="I143" s="2">
        <v>1</v>
      </c>
      <c r="J143" s="2">
        <v>2063.0500000000002</v>
      </c>
      <c r="K143" s="2">
        <v>0</v>
      </c>
      <c r="L143" s="2">
        <v>2063.0500000000002</v>
      </c>
    </row>
    <row r="144" spans="1:12" x14ac:dyDescent="0.35">
      <c r="A144" s="2">
        <v>10143</v>
      </c>
      <c r="B144" s="2">
        <v>1498</v>
      </c>
      <c r="C144" s="2" t="s">
        <v>30</v>
      </c>
      <c r="D144" s="2" t="s">
        <v>41</v>
      </c>
      <c r="E144" s="2" t="s">
        <v>25</v>
      </c>
      <c r="F144" s="2" t="s">
        <v>21</v>
      </c>
      <c r="G144" s="2" t="s">
        <v>42</v>
      </c>
      <c r="H144" s="2" t="s">
        <v>17</v>
      </c>
      <c r="I144" s="2">
        <v>7</v>
      </c>
      <c r="J144" s="2">
        <v>3680.23</v>
      </c>
      <c r="K144" s="2">
        <v>5</v>
      </c>
      <c r="L144" s="2">
        <v>24473.53</v>
      </c>
    </row>
    <row r="145" spans="1:12" x14ac:dyDescent="0.35">
      <c r="A145" s="2">
        <v>10144</v>
      </c>
      <c r="B145" s="2">
        <v>1592</v>
      </c>
      <c r="C145" s="2" t="s">
        <v>32</v>
      </c>
      <c r="D145" s="2" t="s">
        <v>41</v>
      </c>
      <c r="E145" s="2" t="s">
        <v>25</v>
      </c>
      <c r="F145" s="2" t="s">
        <v>15</v>
      </c>
      <c r="G145" s="2" t="s">
        <v>16</v>
      </c>
      <c r="H145" s="2" t="s">
        <v>27</v>
      </c>
      <c r="I145" s="2">
        <v>8</v>
      </c>
      <c r="J145" s="2">
        <v>3138.72</v>
      </c>
      <c r="K145" s="2">
        <v>20</v>
      </c>
      <c r="L145" s="2">
        <v>20087.810000000001</v>
      </c>
    </row>
    <row r="146" spans="1:12" x14ac:dyDescent="0.35">
      <c r="A146" s="2">
        <v>10145</v>
      </c>
      <c r="B146" s="2">
        <v>1391</v>
      </c>
      <c r="C146" s="2" t="s">
        <v>30</v>
      </c>
      <c r="D146" s="2" t="s">
        <v>31</v>
      </c>
      <c r="E146" s="2" t="s">
        <v>20</v>
      </c>
      <c r="F146" s="2" t="s">
        <v>29</v>
      </c>
      <c r="G146" s="2" t="s">
        <v>42</v>
      </c>
      <c r="H146" s="2" t="s">
        <v>38</v>
      </c>
      <c r="I146" s="2">
        <v>6</v>
      </c>
      <c r="J146" s="2">
        <v>652.42999999999995</v>
      </c>
      <c r="K146" s="2">
        <v>10</v>
      </c>
      <c r="L146" s="2">
        <v>3523.12</v>
      </c>
    </row>
    <row r="147" spans="1:12" x14ac:dyDescent="0.35">
      <c r="A147" s="2">
        <v>10146</v>
      </c>
      <c r="B147" s="2">
        <v>1674</v>
      </c>
      <c r="C147" s="2" t="s">
        <v>32</v>
      </c>
      <c r="D147" s="2" t="s">
        <v>33</v>
      </c>
      <c r="E147" s="2" t="s">
        <v>25</v>
      </c>
      <c r="F147" s="2" t="s">
        <v>34</v>
      </c>
      <c r="G147" s="2" t="s">
        <v>42</v>
      </c>
      <c r="H147" s="2" t="s">
        <v>27</v>
      </c>
      <c r="I147" s="2">
        <v>4</v>
      </c>
      <c r="J147" s="2">
        <v>2326.87</v>
      </c>
      <c r="K147" s="2">
        <v>15</v>
      </c>
      <c r="L147" s="2">
        <v>7911.36</v>
      </c>
    </row>
    <row r="148" spans="1:12" x14ac:dyDescent="0.35">
      <c r="A148" s="2">
        <v>10147</v>
      </c>
      <c r="B148" s="2">
        <v>1418</v>
      </c>
      <c r="C148" s="2" t="s">
        <v>18</v>
      </c>
      <c r="D148" s="2" t="s">
        <v>41</v>
      </c>
      <c r="E148" s="2" t="s">
        <v>20</v>
      </c>
      <c r="F148" s="2" t="s">
        <v>21</v>
      </c>
      <c r="G148" s="2" t="s">
        <v>26</v>
      </c>
      <c r="H148" s="2" t="s">
        <v>17</v>
      </c>
      <c r="I148" s="2">
        <v>6</v>
      </c>
      <c r="J148" s="2">
        <v>1852.67</v>
      </c>
      <c r="K148" s="2">
        <v>5</v>
      </c>
      <c r="L148" s="2">
        <v>10560.22</v>
      </c>
    </row>
    <row r="149" spans="1:12" x14ac:dyDescent="0.35">
      <c r="A149" s="2">
        <v>10148</v>
      </c>
      <c r="B149" s="2">
        <v>1288</v>
      </c>
      <c r="C149" s="2" t="s">
        <v>28</v>
      </c>
      <c r="D149" s="2" t="s">
        <v>24</v>
      </c>
      <c r="E149" s="2" t="s">
        <v>25</v>
      </c>
      <c r="F149" s="2" t="s">
        <v>35</v>
      </c>
      <c r="G149" s="2" t="s">
        <v>16</v>
      </c>
      <c r="H149" s="2" t="s">
        <v>38</v>
      </c>
      <c r="I149" s="2">
        <v>3</v>
      </c>
      <c r="J149" s="2">
        <v>3219.26</v>
      </c>
      <c r="K149" s="2">
        <v>10</v>
      </c>
      <c r="L149" s="2">
        <v>8692</v>
      </c>
    </row>
    <row r="150" spans="1:12" x14ac:dyDescent="0.35">
      <c r="A150" s="2">
        <v>10149</v>
      </c>
      <c r="B150" s="2">
        <v>1378</v>
      </c>
      <c r="C150" s="2" t="s">
        <v>18</v>
      </c>
      <c r="D150" s="2" t="s">
        <v>19</v>
      </c>
      <c r="E150" s="2" t="s">
        <v>25</v>
      </c>
      <c r="F150" s="2" t="s">
        <v>34</v>
      </c>
      <c r="G150" s="2" t="s">
        <v>42</v>
      </c>
      <c r="H150" s="2" t="s">
        <v>27</v>
      </c>
      <c r="I150" s="2">
        <v>8</v>
      </c>
      <c r="J150" s="2">
        <v>2938.3</v>
      </c>
      <c r="K150" s="2">
        <v>15</v>
      </c>
      <c r="L150" s="2">
        <v>19980.439999999999</v>
      </c>
    </row>
    <row r="151" spans="1:12" x14ac:dyDescent="0.35">
      <c r="A151" s="2">
        <v>10150</v>
      </c>
      <c r="B151" s="2">
        <v>1772</v>
      </c>
      <c r="C151" s="2" t="s">
        <v>18</v>
      </c>
      <c r="D151" s="2" t="s">
        <v>41</v>
      </c>
      <c r="E151" s="2" t="s">
        <v>20</v>
      </c>
      <c r="F151" s="2" t="s">
        <v>15</v>
      </c>
      <c r="G151" s="2" t="s">
        <v>39</v>
      </c>
      <c r="H151" s="2" t="s">
        <v>23</v>
      </c>
      <c r="I151" s="2">
        <v>2</v>
      </c>
      <c r="J151" s="2">
        <v>2808.06</v>
      </c>
      <c r="K151" s="2">
        <v>0</v>
      </c>
      <c r="L151" s="2">
        <v>5616.12</v>
      </c>
    </row>
    <row r="152" spans="1:12" x14ac:dyDescent="0.35">
      <c r="A152" s="2">
        <v>10151</v>
      </c>
      <c r="B152" s="2">
        <v>1489</v>
      </c>
      <c r="C152" s="2" t="s">
        <v>28</v>
      </c>
      <c r="D152" s="2" t="s">
        <v>24</v>
      </c>
      <c r="E152" s="2" t="s">
        <v>25</v>
      </c>
      <c r="F152" s="2" t="s">
        <v>15</v>
      </c>
      <c r="G152" s="2" t="s">
        <v>39</v>
      </c>
      <c r="H152" s="2" t="s">
        <v>38</v>
      </c>
      <c r="I152" s="2">
        <v>5</v>
      </c>
      <c r="J152" s="2">
        <v>1461.1</v>
      </c>
      <c r="K152" s="2">
        <v>15</v>
      </c>
      <c r="L152" s="2">
        <v>6209.68</v>
      </c>
    </row>
    <row r="153" spans="1:12" x14ac:dyDescent="0.35">
      <c r="A153" s="2">
        <v>10152</v>
      </c>
      <c r="B153" s="2">
        <v>1230</v>
      </c>
      <c r="C153" s="2" t="s">
        <v>30</v>
      </c>
      <c r="D153" s="2" t="s">
        <v>13</v>
      </c>
      <c r="E153" s="2" t="s">
        <v>20</v>
      </c>
      <c r="F153" s="2" t="s">
        <v>35</v>
      </c>
      <c r="G153" s="2" t="s">
        <v>40</v>
      </c>
      <c r="H153" s="2" t="s">
        <v>38</v>
      </c>
      <c r="I153" s="2">
        <v>1</v>
      </c>
      <c r="J153" s="2">
        <v>3249.11</v>
      </c>
      <c r="K153" s="2">
        <v>10</v>
      </c>
      <c r="L153" s="2">
        <v>2924.2</v>
      </c>
    </row>
    <row r="154" spans="1:12" x14ac:dyDescent="0.35">
      <c r="A154" s="2">
        <v>10153</v>
      </c>
      <c r="B154" s="2">
        <v>1040</v>
      </c>
      <c r="C154" s="2" t="s">
        <v>30</v>
      </c>
      <c r="D154" s="2" t="s">
        <v>24</v>
      </c>
      <c r="E154" s="2" t="s">
        <v>25</v>
      </c>
      <c r="F154" s="2" t="s">
        <v>21</v>
      </c>
      <c r="G154" s="2" t="s">
        <v>16</v>
      </c>
      <c r="H154" s="2" t="s">
        <v>23</v>
      </c>
      <c r="I154" s="2">
        <v>6</v>
      </c>
      <c r="J154" s="2">
        <v>351.71</v>
      </c>
      <c r="K154" s="2">
        <v>10</v>
      </c>
      <c r="L154" s="2">
        <v>1899.23</v>
      </c>
    </row>
    <row r="155" spans="1:12" x14ac:dyDescent="0.35">
      <c r="A155" s="2">
        <v>10154</v>
      </c>
      <c r="B155" s="2">
        <v>1027</v>
      </c>
      <c r="C155" s="2" t="s">
        <v>32</v>
      </c>
      <c r="D155" s="2" t="s">
        <v>19</v>
      </c>
      <c r="E155" s="2" t="s">
        <v>14</v>
      </c>
      <c r="F155" s="2" t="s">
        <v>34</v>
      </c>
      <c r="G155" s="2" t="s">
        <v>16</v>
      </c>
      <c r="H155" s="2" t="s">
        <v>36</v>
      </c>
      <c r="I155" s="2">
        <v>2</v>
      </c>
      <c r="J155" s="2">
        <v>764.56</v>
      </c>
      <c r="K155" s="2">
        <v>0</v>
      </c>
      <c r="L155" s="2">
        <v>1529.12</v>
      </c>
    </row>
    <row r="156" spans="1:12" x14ac:dyDescent="0.35">
      <c r="A156" s="2">
        <v>10155</v>
      </c>
      <c r="B156" s="2">
        <v>1134</v>
      </c>
      <c r="C156" s="2" t="s">
        <v>13</v>
      </c>
      <c r="D156" s="2" t="s">
        <v>24</v>
      </c>
      <c r="E156" s="2" t="s">
        <v>25</v>
      </c>
      <c r="F156" s="2" t="s">
        <v>21</v>
      </c>
      <c r="G156" s="2" t="s">
        <v>40</v>
      </c>
      <c r="H156" s="2" t="s">
        <v>17</v>
      </c>
      <c r="I156" s="2">
        <v>4</v>
      </c>
      <c r="J156" s="2">
        <v>1442.15</v>
      </c>
      <c r="K156" s="2">
        <v>15</v>
      </c>
      <c r="L156" s="2">
        <v>4903.3100000000004</v>
      </c>
    </row>
    <row r="157" spans="1:12" x14ac:dyDescent="0.35">
      <c r="A157" s="2">
        <v>10156</v>
      </c>
      <c r="B157" s="2">
        <v>1200</v>
      </c>
      <c r="C157" s="2" t="s">
        <v>32</v>
      </c>
      <c r="D157" s="2" t="s">
        <v>31</v>
      </c>
      <c r="E157" s="2" t="s">
        <v>20</v>
      </c>
      <c r="F157" s="2" t="s">
        <v>15</v>
      </c>
      <c r="G157" s="2" t="s">
        <v>42</v>
      </c>
      <c r="H157" s="2" t="s">
        <v>36</v>
      </c>
      <c r="I157" s="2">
        <v>6</v>
      </c>
      <c r="J157" s="2">
        <v>445.71</v>
      </c>
      <c r="K157" s="2">
        <v>15</v>
      </c>
      <c r="L157" s="2">
        <v>2273.12</v>
      </c>
    </row>
    <row r="158" spans="1:12" x14ac:dyDescent="0.35">
      <c r="A158" s="2">
        <v>10157</v>
      </c>
      <c r="B158" s="2">
        <v>1839</v>
      </c>
      <c r="C158" s="2" t="s">
        <v>13</v>
      </c>
      <c r="D158" s="2" t="s">
        <v>19</v>
      </c>
      <c r="E158" s="2" t="s">
        <v>25</v>
      </c>
      <c r="F158" s="2" t="s">
        <v>21</v>
      </c>
      <c r="G158" s="2" t="s">
        <v>16</v>
      </c>
      <c r="H158" s="2" t="s">
        <v>27</v>
      </c>
      <c r="I158" s="2">
        <v>8</v>
      </c>
      <c r="J158" s="2">
        <v>1054.73</v>
      </c>
      <c r="K158" s="2">
        <v>0</v>
      </c>
      <c r="L158" s="2">
        <v>8437.84</v>
      </c>
    </row>
    <row r="159" spans="1:12" x14ac:dyDescent="0.35">
      <c r="A159" s="2">
        <v>10158</v>
      </c>
      <c r="B159" s="2">
        <v>1779</v>
      </c>
      <c r="C159" s="2" t="s">
        <v>18</v>
      </c>
      <c r="D159" s="2" t="s">
        <v>33</v>
      </c>
      <c r="E159" s="2" t="s">
        <v>20</v>
      </c>
      <c r="F159" s="2" t="s">
        <v>15</v>
      </c>
      <c r="G159" s="2" t="s">
        <v>39</v>
      </c>
      <c r="H159" s="2" t="s">
        <v>23</v>
      </c>
      <c r="I159" s="2">
        <v>8</v>
      </c>
      <c r="J159" s="2">
        <v>3346.08</v>
      </c>
      <c r="K159" s="2">
        <v>15</v>
      </c>
      <c r="L159" s="2">
        <v>22753.34</v>
      </c>
    </row>
    <row r="160" spans="1:12" x14ac:dyDescent="0.35">
      <c r="A160" s="2">
        <v>10159</v>
      </c>
      <c r="B160" s="2">
        <v>1929</v>
      </c>
      <c r="C160" s="2" t="s">
        <v>28</v>
      </c>
      <c r="D160" s="2" t="s">
        <v>13</v>
      </c>
      <c r="E160" s="2" t="s">
        <v>20</v>
      </c>
      <c r="F160" s="2" t="s">
        <v>21</v>
      </c>
      <c r="G160" s="2" t="s">
        <v>39</v>
      </c>
      <c r="H160" s="2" t="s">
        <v>36</v>
      </c>
      <c r="I160" s="2">
        <v>6</v>
      </c>
      <c r="J160" s="2">
        <v>3800.77</v>
      </c>
      <c r="K160" s="2">
        <v>0</v>
      </c>
      <c r="L160" s="2">
        <v>22804.62</v>
      </c>
    </row>
    <row r="161" spans="1:12" x14ac:dyDescent="0.35">
      <c r="A161" s="2">
        <v>10160</v>
      </c>
      <c r="B161" s="2">
        <v>1032</v>
      </c>
      <c r="C161" s="2" t="s">
        <v>18</v>
      </c>
      <c r="D161" s="2" t="s">
        <v>31</v>
      </c>
      <c r="E161" s="2" t="s">
        <v>14</v>
      </c>
      <c r="F161" s="2" t="s">
        <v>35</v>
      </c>
      <c r="G161" s="2" t="s">
        <v>26</v>
      </c>
      <c r="H161" s="2" t="s">
        <v>38</v>
      </c>
      <c r="I161" s="2">
        <v>4</v>
      </c>
      <c r="J161" s="2">
        <v>1322.72</v>
      </c>
      <c r="K161" s="2">
        <v>5</v>
      </c>
      <c r="L161" s="2">
        <v>5026.34</v>
      </c>
    </row>
    <row r="162" spans="1:12" x14ac:dyDescent="0.35">
      <c r="A162" s="2">
        <v>10161</v>
      </c>
      <c r="B162" s="2">
        <v>1047</v>
      </c>
      <c r="C162" s="2" t="s">
        <v>37</v>
      </c>
      <c r="D162" s="2" t="s">
        <v>33</v>
      </c>
      <c r="E162" s="2" t="s">
        <v>14</v>
      </c>
      <c r="F162" s="2" t="s">
        <v>29</v>
      </c>
      <c r="G162" s="2" t="s">
        <v>16</v>
      </c>
      <c r="H162" s="2" t="s">
        <v>27</v>
      </c>
      <c r="I162" s="2">
        <v>8</v>
      </c>
      <c r="J162" s="2">
        <v>1168.3900000000001</v>
      </c>
      <c r="K162" s="2">
        <v>10</v>
      </c>
      <c r="L162" s="2">
        <v>8412.41</v>
      </c>
    </row>
    <row r="163" spans="1:12" x14ac:dyDescent="0.35">
      <c r="A163" s="2">
        <v>10162</v>
      </c>
      <c r="B163" s="2">
        <v>1502</v>
      </c>
      <c r="C163" s="2" t="s">
        <v>30</v>
      </c>
      <c r="D163" s="2" t="s">
        <v>24</v>
      </c>
      <c r="E163" s="2" t="s">
        <v>20</v>
      </c>
      <c r="F163" s="2" t="s">
        <v>35</v>
      </c>
      <c r="G163" s="2" t="s">
        <v>42</v>
      </c>
      <c r="H163" s="2" t="s">
        <v>27</v>
      </c>
      <c r="I163" s="2">
        <v>8</v>
      </c>
      <c r="J163" s="2">
        <v>1227.5899999999999</v>
      </c>
      <c r="K163" s="2">
        <v>5</v>
      </c>
      <c r="L163" s="2">
        <v>9329.68</v>
      </c>
    </row>
    <row r="164" spans="1:12" x14ac:dyDescent="0.35">
      <c r="A164" s="2">
        <v>10163</v>
      </c>
      <c r="B164" s="2">
        <v>1406</v>
      </c>
      <c r="C164" s="2" t="s">
        <v>13</v>
      </c>
      <c r="D164" s="2" t="s">
        <v>19</v>
      </c>
      <c r="E164" s="2" t="s">
        <v>25</v>
      </c>
      <c r="F164" s="2" t="s">
        <v>35</v>
      </c>
      <c r="G164" s="2" t="s">
        <v>40</v>
      </c>
      <c r="H164" s="2" t="s">
        <v>36</v>
      </c>
      <c r="I164" s="2">
        <v>1</v>
      </c>
      <c r="J164" s="2">
        <v>1219.22</v>
      </c>
      <c r="K164" s="2">
        <v>20</v>
      </c>
      <c r="L164" s="2">
        <v>975.38</v>
      </c>
    </row>
    <row r="165" spans="1:12" x14ac:dyDescent="0.35">
      <c r="A165" s="2">
        <v>10164</v>
      </c>
      <c r="B165" s="2">
        <v>1573</v>
      </c>
      <c r="C165" s="2" t="s">
        <v>32</v>
      </c>
      <c r="D165" s="2" t="s">
        <v>13</v>
      </c>
      <c r="E165" s="2" t="s">
        <v>20</v>
      </c>
      <c r="F165" s="2" t="s">
        <v>29</v>
      </c>
      <c r="G165" s="2" t="s">
        <v>40</v>
      </c>
      <c r="H165" s="2" t="s">
        <v>36</v>
      </c>
      <c r="I165" s="2">
        <v>4</v>
      </c>
      <c r="J165" s="2">
        <v>288.33</v>
      </c>
      <c r="K165" s="2">
        <v>20</v>
      </c>
      <c r="L165" s="2">
        <v>922.66</v>
      </c>
    </row>
    <row r="166" spans="1:12" x14ac:dyDescent="0.35">
      <c r="A166" s="2">
        <v>10165</v>
      </c>
      <c r="B166" s="2">
        <v>1727</v>
      </c>
      <c r="C166" s="2" t="s">
        <v>28</v>
      </c>
      <c r="D166" s="2" t="s">
        <v>31</v>
      </c>
      <c r="E166" s="2" t="s">
        <v>20</v>
      </c>
      <c r="F166" s="2" t="s">
        <v>29</v>
      </c>
      <c r="G166" s="2" t="s">
        <v>42</v>
      </c>
      <c r="H166" s="2" t="s">
        <v>23</v>
      </c>
      <c r="I166" s="2">
        <v>4</v>
      </c>
      <c r="J166" s="2">
        <v>3718.63</v>
      </c>
      <c r="K166" s="2">
        <v>20</v>
      </c>
      <c r="L166" s="2">
        <v>11899.62</v>
      </c>
    </row>
    <row r="167" spans="1:12" x14ac:dyDescent="0.35">
      <c r="A167" s="2">
        <v>10166</v>
      </c>
      <c r="B167" s="2">
        <v>1804</v>
      </c>
      <c r="C167" s="2" t="s">
        <v>13</v>
      </c>
      <c r="D167" s="2" t="s">
        <v>33</v>
      </c>
      <c r="E167" s="2" t="s">
        <v>25</v>
      </c>
      <c r="F167" s="2" t="s">
        <v>34</v>
      </c>
      <c r="G167" s="2" t="s">
        <v>22</v>
      </c>
      <c r="H167" s="2" t="s">
        <v>17</v>
      </c>
      <c r="I167" s="2">
        <v>7</v>
      </c>
      <c r="J167" s="2">
        <v>972.74</v>
      </c>
      <c r="K167" s="2">
        <v>0</v>
      </c>
      <c r="L167" s="2">
        <v>6809.18</v>
      </c>
    </row>
    <row r="168" spans="1:12" x14ac:dyDescent="0.35">
      <c r="A168" s="2">
        <v>10167</v>
      </c>
      <c r="B168" s="2">
        <v>1098</v>
      </c>
      <c r="C168" s="2" t="s">
        <v>32</v>
      </c>
      <c r="D168" s="2" t="s">
        <v>33</v>
      </c>
      <c r="E168" s="2" t="s">
        <v>25</v>
      </c>
      <c r="F168" s="2" t="s">
        <v>34</v>
      </c>
      <c r="G168" s="2" t="s">
        <v>26</v>
      </c>
      <c r="H168" s="2" t="s">
        <v>36</v>
      </c>
      <c r="I168" s="2">
        <v>7</v>
      </c>
      <c r="J168" s="2">
        <v>1767.02</v>
      </c>
      <c r="K168" s="2">
        <v>15</v>
      </c>
      <c r="L168" s="2">
        <v>10513.77</v>
      </c>
    </row>
    <row r="169" spans="1:12" x14ac:dyDescent="0.35">
      <c r="A169" s="2">
        <v>10168</v>
      </c>
      <c r="B169" s="2">
        <v>1683</v>
      </c>
      <c r="C169" s="2" t="s">
        <v>30</v>
      </c>
      <c r="D169" s="2" t="s">
        <v>13</v>
      </c>
      <c r="E169" s="2" t="s">
        <v>25</v>
      </c>
      <c r="F169" s="2" t="s">
        <v>35</v>
      </c>
      <c r="G169" s="2" t="s">
        <v>40</v>
      </c>
      <c r="H169" s="2" t="s">
        <v>36</v>
      </c>
      <c r="I169" s="2">
        <v>8</v>
      </c>
      <c r="J169" s="2">
        <v>187.29</v>
      </c>
      <c r="K169" s="2">
        <v>5</v>
      </c>
      <c r="L169" s="2">
        <v>1423.4</v>
      </c>
    </row>
    <row r="170" spans="1:12" x14ac:dyDescent="0.35">
      <c r="A170" s="2">
        <v>10169</v>
      </c>
      <c r="B170" s="2">
        <v>1871</v>
      </c>
      <c r="C170" s="2" t="s">
        <v>18</v>
      </c>
      <c r="D170" s="2" t="s">
        <v>24</v>
      </c>
      <c r="E170" s="2" t="s">
        <v>25</v>
      </c>
      <c r="F170" s="2" t="s">
        <v>35</v>
      </c>
      <c r="G170" s="2" t="s">
        <v>16</v>
      </c>
      <c r="H170" s="2" t="s">
        <v>38</v>
      </c>
      <c r="I170" s="2">
        <v>5</v>
      </c>
      <c r="J170" s="2">
        <v>3453.13</v>
      </c>
      <c r="K170" s="2">
        <v>5</v>
      </c>
      <c r="L170" s="2">
        <v>16402.37</v>
      </c>
    </row>
    <row r="171" spans="1:12" x14ac:dyDescent="0.35">
      <c r="A171" s="2">
        <v>10170</v>
      </c>
      <c r="B171" s="2">
        <v>1725</v>
      </c>
      <c r="C171" s="2" t="s">
        <v>30</v>
      </c>
      <c r="D171" s="2" t="s">
        <v>13</v>
      </c>
      <c r="E171" s="2" t="s">
        <v>20</v>
      </c>
      <c r="F171" s="2" t="s">
        <v>15</v>
      </c>
      <c r="G171" s="2" t="s">
        <v>26</v>
      </c>
      <c r="H171" s="2" t="s">
        <v>27</v>
      </c>
      <c r="I171" s="2">
        <v>7</v>
      </c>
      <c r="J171" s="2">
        <v>2964.96</v>
      </c>
      <c r="K171" s="2">
        <v>5</v>
      </c>
      <c r="L171" s="2">
        <v>19716.98</v>
      </c>
    </row>
    <row r="172" spans="1:12" x14ac:dyDescent="0.35">
      <c r="A172" s="2">
        <v>10171</v>
      </c>
      <c r="B172" s="2">
        <v>1986</v>
      </c>
      <c r="C172" s="2" t="s">
        <v>12</v>
      </c>
      <c r="D172" s="2" t="s">
        <v>33</v>
      </c>
      <c r="E172" s="2" t="s">
        <v>20</v>
      </c>
      <c r="F172" s="2" t="s">
        <v>15</v>
      </c>
      <c r="G172" s="2" t="s">
        <v>16</v>
      </c>
      <c r="H172" s="2" t="s">
        <v>17</v>
      </c>
      <c r="I172" s="2">
        <v>8</v>
      </c>
      <c r="J172" s="2">
        <v>3795.01</v>
      </c>
      <c r="K172" s="2">
        <v>5</v>
      </c>
      <c r="L172" s="2">
        <v>28842.080000000002</v>
      </c>
    </row>
    <row r="173" spans="1:12" x14ac:dyDescent="0.35">
      <c r="A173" s="2">
        <v>10172</v>
      </c>
      <c r="B173" s="2">
        <v>1546</v>
      </c>
      <c r="C173" s="2" t="s">
        <v>37</v>
      </c>
      <c r="D173" s="2" t="s">
        <v>41</v>
      </c>
      <c r="E173" s="2" t="s">
        <v>14</v>
      </c>
      <c r="F173" s="2" t="s">
        <v>34</v>
      </c>
      <c r="G173" s="2" t="s">
        <v>39</v>
      </c>
      <c r="H173" s="2" t="s">
        <v>38</v>
      </c>
      <c r="I173" s="2">
        <v>9</v>
      </c>
      <c r="J173" s="2">
        <v>3159.22</v>
      </c>
      <c r="K173" s="2">
        <v>20</v>
      </c>
      <c r="L173" s="2">
        <v>22746.38</v>
      </c>
    </row>
    <row r="174" spans="1:12" x14ac:dyDescent="0.35">
      <c r="A174" s="2">
        <v>10173</v>
      </c>
      <c r="B174" s="2">
        <v>1960</v>
      </c>
      <c r="C174" s="2" t="s">
        <v>12</v>
      </c>
      <c r="D174" s="2" t="s">
        <v>31</v>
      </c>
      <c r="E174" s="2" t="s">
        <v>20</v>
      </c>
      <c r="F174" s="2" t="s">
        <v>34</v>
      </c>
      <c r="G174" s="2" t="s">
        <v>26</v>
      </c>
      <c r="H174" s="2" t="s">
        <v>23</v>
      </c>
      <c r="I174" s="2">
        <v>3</v>
      </c>
      <c r="J174" s="2">
        <v>1357.77</v>
      </c>
      <c r="K174" s="2">
        <v>5</v>
      </c>
      <c r="L174" s="2">
        <v>3869.64</v>
      </c>
    </row>
    <row r="175" spans="1:12" x14ac:dyDescent="0.35">
      <c r="A175" s="2">
        <v>10174</v>
      </c>
      <c r="B175" s="2">
        <v>1738</v>
      </c>
      <c r="C175" s="2" t="s">
        <v>28</v>
      </c>
      <c r="D175" s="2" t="s">
        <v>13</v>
      </c>
      <c r="E175" s="2" t="s">
        <v>25</v>
      </c>
      <c r="F175" s="2" t="s">
        <v>15</v>
      </c>
      <c r="G175" s="2" t="s">
        <v>40</v>
      </c>
      <c r="H175" s="2" t="s">
        <v>23</v>
      </c>
      <c r="I175" s="2">
        <v>3</v>
      </c>
      <c r="J175" s="2">
        <v>1104.31</v>
      </c>
      <c r="K175" s="2">
        <v>15</v>
      </c>
      <c r="L175" s="2">
        <v>2815.99</v>
      </c>
    </row>
    <row r="176" spans="1:12" x14ac:dyDescent="0.35">
      <c r="A176" s="2">
        <v>10175</v>
      </c>
      <c r="B176" s="2">
        <v>1612</v>
      </c>
      <c r="C176" s="2" t="s">
        <v>13</v>
      </c>
      <c r="D176" s="2" t="s">
        <v>33</v>
      </c>
      <c r="E176" s="2" t="s">
        <v>14</v>
      </c>
      <c r="F176" s="2" t="s">
        <v>15</v>
      </c>
      <c r="G176" s="2" t="s">
        <v>26</v>
      </c>
      <c r="H176" s="2" t="s">
        <v>36</v>
      </c>
      <c r="I176" s="2">
        <v>4</v>
      </c>
      <c r="J176" s="2">
        <v>2836.21</v>
      </c>
      <c r="K176" s="2">
        <v>20</v>
      </c>
      <c r="L176" s="2">
        <v>9075.8700000000008</v>
      </c>
    </row>
    <row r="177" spans="1:12" x14ac:dyDescent="0.35">
      <c r="A177" s="2">
        <v>10176</v>
      </c>
      <c r="B177" s="2">
        <v>1942</v>
      </c>
      <c r="C177" s="2" t="s">
        <v>28</v>
      </c>
      <c r="D177" s="2" t="s">
        <v>24</v>
      </c>
      <c r="E177" s="2" t="s">
        <v>25</v>
      </c>
      <c r="F177" s="2" t="s">
        <v>21</v>
      </c>
      <c r="G177" s="2" t="s">
        <v>26</v>
      </c>
      <c r="H177" s="2" t="s">
        <v>36</v>
      </c>
      <c r="I177" s="2">
        <v>5</v>
      </c>
      <c r="J177" s="2">
        <v>1551.83</v>
      </c>
      <c r="K177" s="2">
        <v>5</v>
      </c>
      <c r="L177" s="2">
        <v>7371.19</v>
      </c>
    </row>
    <row r="178" spans="1:12" x14ac:dyDescent="0.35">
      <c r="A178" s="2">
        <v>10177</v>
      </c>
      <c r="B178" s="2">
        <v>1461</v>
      </c>
      <c r="C178" s="2" t="s">
        <v>18</v>
      </c>
      <c r="D178" s="2" t="s">
        <v>33</v>
      </c>
      <c r="E178" s="2" t="s">
        <v>20</v>
      </c>
      <c r="F178" s="2" t="s">
        <v>21</v>
      </c>
      <c r="G178" s="2" t="s">
        <v>26</v>
      </c>
      <c r="H178" s="2" t="s">
        <v>23</v>
      </c>
      <c r="I178" s="2">
        <v>1</v>
      </c>
      <c r="J178" s="2">
        <v>2329.9299999999998</v>
      </c>
      <c r="K178" s="2">
        <v>0</v>
      </c>
      <c r="L178" s="2">
        <v>2329.9299999999998</v>
      </c>
    </row>
    <row r="179" spans="1:12" x14ac:dyDescent="0.35">
      <c r="A179" s="2">
        <v>10178</v>
      </c>
      <c r="B179" s="2">
        <v>1642</v>
      </c>
      <c r="C179" s="2" t="s">
        <v>32</v>
      </c>
      <c r="D179" s="2" t="s">
        <v>24</v>
      </c>
      <c r="E179" s="2" t="s">
        <v>14</v>
      </c>
      <c r="F179" s="2" t="s">
        <v>15</v>
      </c>
      <c r="G179" s="2" t="s">
        <v>22</v>
      </c>
      <c r="H179" s="2" t="s">
        <v>36</v>
      </c>
      <c r="I179" s="2">
        <v>7</v>
      </c>
      <c r="J179" s="2">
        <v>174.09</v>
      </c>
      <c r="K179" s="2">
        <v>10</v>
      </c>
      <c r="L179" s="2">
        <v>1096.77</v>
      </c>
    </row>
    <row r="180" spans="1:12" x14ac:dyDescent="0.35">
      <c r="A180" s="2">
        <v>10179</v>
      </c>
      <c r="B180" s="2">
        <v>1768</v>
      </c>
      <c r="C180" s="2" t="s">
        <v>30</v>
      </c>
      <c r="D180" s="2" t="s">
        <v>13</v>
      </c>
      <c r="E180" s="2" t="s">
        <v>25</v>
      </c>
      <c r="F180" s="2" t="s">
        <v>21</v>
      </c>
      <c r="G180" s="2" t="s">
        <v>26</v>
      </c>
      <c r="H180" s="2" t="s">
        <v>17</v>
      </c>
      <c r="I180" s="2">
        <v>9</v>
      </c>
      <c r="J180" s="2">
        <v>388.26</v>
      </c>
      <c r="K180" s="2">
        <v>10</v>
      </c>
      <c r="L180" s="2">
        <v>3144.91</v>
      </c>
    </row>
    <row r="181" spans="1:12" x14ac:dyDescent="0.35">
      <c r="A181" s="2">
        <v>10180</v>
      </c>
      <c r="B181" s="2">
        <v>1004</v>
      </c>
      <c r="C181" s="2" t="s">
        <v>12</v>
      </c>
      <c r="D181" s="2" t="s">
        <v>24</v>
      </c>
      <c r="E181" s="2" t="s">
        <v>14</v>
      </c>
      <c r="F181" s="2" t="s">
        <v>29</v>
      </c>
      <c r="G181" s="2" t="s">
        <v>16</v>
      </c>
      <c r="H181" s="2" t="s">
        <v>36</v>
      </c>
      <c r="I181" s="2">
        <v>8</v>
      </c>
      <c r="J181" s="2">
        <v>2211.17</v>
      </c>
      <c r="K181" s="2">
        <v>10</v>
      </c>
      <c r="L181" s="2">
        <v>15920.42</v>
      </c>
    </row>
    <row r="182" spans="1:12" x14ac:dyDescent="0.35">
      <c r="A182" s="2">
        <v>10181</v>
      </c>
      <c r="B182" s="2">
        <v>1217</v>
      </c>
      <c r="C182" s="2" t="s">
        <v>12</v>
      </c>
      <c r="D182" s="2" t="s">
        <v>19</v>
      </c>
      <c r="E182" s="2" t="s">
        <v>14</v>
      </c>
      <c r="F182" s="2" t="s">
        <v>34</v>
      </c>
      <c r="G182" s="2" t="s">
        <v>39</v>
      </c>
      <c r="H182" s="2" t="s">
        <v>27</v>
      </c>
      <c r="I182" s="2">
        <v>5</v>
      </c>
      <c r="J182" s="2">
        <v>2329.38</v>
      </c>
      <c r="K182" s="2">
        <v>20</v>
      </c>
      <c r="L182" s="2">
        <v>9317.52</v>
      </c>
    </row>
    <row r="183" spans="1:12" x14ac:dyDescent="0.35">
      <c r="A183" s="2">
        <v>10182</v>
      </c>
      <c r="B183" s="2">
        <v>1502</v>
      </c>
      <c r="C183" s="2" t="s">
        <v>18</v>
      </c>
      <c r="D183" s="2" t="s">
        <v>19</v>
      </c>
      <c r="E183" s="2" t="s">
        <v>20</v>
      </c>
      <c r="F183" s="2" t="s">
        <v>34</v>
      </c>
      <c r="G183" s="2" t="s">
        <v>42</v>
      </c>
      <c r="H183" s="2" t="s">
        <v>36</v>
      </c>
      <c r="I183" s="2">
        <v>4</v>
      </c>
      <c r="J183" s="2">
        <v>3043.09</v>
      </c>
      <c r="K183" s="2">
        <v>5</v>
      </c>
      <c r="L183" s="2">
        <v>11563.74</v>
      </c>
    </row>
    <row r="184" spans="1:12" x14ac:dyDescent="0.35">
      <c r="A184" s="2">
        <v>10183</v>
      </c>
      <c r="B184" s="2">
        <v>1766</v>
      </c>
      <c r="C184" s="2" t="s">
        <v>12</v>
      </c>
      <c r="D184" s="2" t="s">
        <v>19</v>
      </c>
      <c r="E184" s="2" t="s">
        <v>25</v>
      </c>
      <c r="F184" s="2" t="s">
        <v>15</v>
      </c>
      <c r="G184" s="2" t="s">
        <v>26</v>
      </c>
      <c r="H184" s="2" t="s">
        <v>38</v>
      </c>
      <c r="I184" s="2">
        <v>7</v>
      </c>
      <c r="J184" s="2">
        <v>658.07</v>
      </c>
      <c r="K184" s="2">
        <v>20</v>
      </c>
      <c r="L184" s="2">
        <v>3685.19</v>
      </c>
    </row>
    <row r="185" spans="1:12" x14ac:dyDescent="0.35">
      <c r="A185" s="2">
        <v>10184</v>
      </c>
      <c r="B185" s="2">
        <v>1397</v>
      </c>
      <c r="C185" s="2" t="s">
        <v>18</v>
      </c>
      <c r="D185" s="2" t="s">
        <v>41</v>
      </c>
      <c r="E185" s="2" t="s">
        <v>14</v>
      </c>
      <c r="F185" s="2" t="s">
        <v>35</v>
      </c>
      <c r="G185" s="2" t="s">
        <v>40</v>
      </c>
      <c r="H185" s="2" t="s">
        <v>17</v>
      </c>
      <c r="I185" s="2">
        <v>5</v>
      </c>
      <c r="J185" s="2">
        <v>2125.75</v>
      </c>
      <c r="K185" s="2">
        <v>15</v>
      </c>
      <c r="L185" s="2">
        <v>9034.44</v>
      </c>
    </row>
    <row r="186" spans="1:12" x14ac:dyDescent="0.35">
      <c r="A186" s="2">
        <v>10185</v>
      </c>
      <c r="B186" s="2">
        <v>1870</v>
      </c>
      <c r="C186" s="2" t="s">
        <v>28</v>
      </c>
      <c r="D186" s="2" t="s">
        <v>13</v>
      </c>
      <c r="E186" s="2" t="s">
        <v>14</v>
      </c>
      <c r="F186" s="2" t="s">
        <v>15</v>
      </c>
      <c r="G186" s="2" t="s">
        <v>26</v>
      </c>
      <c r="H186" s="2" t="s">
        <v>38</v>
      </c>
      <c r="I186" s="2">
        <v>7</v>
      </c>
      <c r="J186" s="2">
        <v>898.62</v>
      </c>
      <c r="K186" s="2">
        <v>0</v>
      </c>
      <c r="L186" s="2">
        <v>6290.34</v>
      </c>
    </row>
    <row r="187" spans="1:12" x14ac:dyDescent="0.35">
      <c r="A187" s="2">
        <v>10186</v>
      </c>
      <c r="B187" s="2">
        <v>1794</v>
      </c>
      <c r="C187" s="2" t="s">
        <v>30</v>
      </c>
      <c r="D187" s="2" t="s">
        <v>33</v>
      </c>
      <c r="E187" s="2" t="s">
        <v>25</v>
      </c>
      <c r="F187" s="2" t="s">
        <v>21</v>
      </c>
      <c r="G187" s="2" t="s">
        <v>40</v>
      </c>
      <c r="H187" s="2" t="s">
        <v>38</v>
      </c>
      <c r="I187" s="2">
        <v>1</v>
      </c>
      <c r="J187" s="2">
        <v>508.81</v>
      </c>
      <c r="K187" s="2">
        <v>0</v>
      </c>
      <c r="L187" s="2">
        <v>508.81</v>
      </c>
    </row>
    <row r="188" spans="1:12" x14ac:dyDescent="0.35">
      <c r="A188" s="2">
        <v>10187</v>
      </c>
      <c r="B188" s="2">
        <v>1392</v>
      </c>
      <c r="C188" s="2" t="s">
        <v>13</v>
      </c>
      <c r="D188" s="2" t="s">
        <v>33</v>
      </c>
      <c r="E188" s="2" t="s">
        <v>14</v>
      </c>
      <c r="F188" s="2" t="s">
        <v>35</v>
      </c>
      <c r="G188" s="2" t="s">
        <v>16</v>
      </c>
      <c r="H188" s="2" t="s">
        <v>27</v>
      </c>
      <c r="I188" s="2">
        <v>1</v>
      </c>
      <c r="J188" s="2">
        <v>1730.41</v>
      </c>
      <c r="K188" s="2">
        <v>10</v>
      </c>
      <c r="L188" s="2">
        <v>1557.37</v>
      </c>
    </row>
    <row r="189" spans="1:12" x14ac:dyDescent="0.35">
      <c r="A189" s="2">
        <v>10188</v>
      </c>
      <c r="B189" s="2">
        <v>1206</v>
      </c>
      <c r="C189" s="2" t="s">
        <v>32</v>
      </c>
      <c r="D189" s="2" t="s">
        <v>41</v>
      </c>
      <c r="E189" s="2" t="s">
        <v>14</v>
      </c>
      <c r="F189" s="2" t="s">
        <v>21</v>
      </c>
      <c r="G189" s="2" t="s">
        <v>40</v>
      </c>
      <c r="H189" s="2" t="s">
        <v>17</v>
      </c>
      <c r="I189" s="2">
        <v>3</v>
      </c>
      <c r="J189" s="2">
        <v>778.85</v>
      </c>
      <c r="K189" s="2">
        <v>10</v>
      </c>
      <c r="L189" s="2">
        <v>2102.89</v>
      </c>
    </row>
    <row r="190" spans="1:12" x14ac:dyDescent="0.35">
      <c r="A190" s="2">
        <v>10189</v>
      </c>
      <c r="B190" s="2">
        <v>1014</v>
      </c>
      <c r="C190" s="2" t="s">
        <v>13</v>
      </c>
      <c r="D190" s="2" t="s">
        <v>24</v>
      </c>
      <c r="E190" s="2" t="s">
        <v>14</v>
      </c>
      <c r="F190" s="2" t="s">
        <v>29</v>
      </c>
      <c r="G190" s="2" t="s">
        <v>42</v>
      </c>
      <c r="H190" s="2" t="s">
        <v>17</v>
      </c>
      <c r="I190" s="2">
        <v>2</v>
      </c>
      <c r="J190" s="2">
        <v>1003.86</v>
      </c>
      <c r="K190" s="2">
        <v>10</v>
      </c>
      <c r="L190" s="2">
        <v>1806.95</v>
      </c>
    </row>
    <row r="191" spans="1:12" x14ac:dyDescent="0.35">
      <c r="A191" s="2">
        <v>10190</v>
      </c>
      <c r="B191" s="2">
        <v>1857</v>
      </c>
      <c r="C191" s="2" t="s">
        <v>28</v>
      </c>
      <c r="D191" s="2" t="s">
        <v>41</v>
      </c>
      <c r="E191" s="2" t="s">
        <v>25</v>
      </c>
      <c r="F191" s="2" t="s">
        <v>21</v>
      </c>
      <c r="G191" s="2" t="s">
        <v>39</v>
      </c>
      <c r="H191" s="2" t="s">
        <v>17</v>
      </c>
      <c r="I191" s="2">
        <v>2</v>
      </c>
      <c r="J191" s="2">
        <v>1372.59</v>
      </c>
      <c r="K191" s="2">
        <v>5</v>
      </c>
      <c r="L191" s="2">
        <v>2607.92</v>
      </c>
    </row>
    <row r="192" spans="1:12" x14ac:dyDescent="0.35">
      <c r="A192" s="2">
        <v>10191</v>
      </c>
      <c r="B192" s="2">
        <v>1553</v>
      </c>
      <c r="C192" s="2" t="s">
        <v>32</v>
      </c>
      <c r="D192" s="2" t="s">
        <v>24</v>
      </c>
      <c r="E192" s="2" t="s">
        <v>25</v>
      </c>
      <c r="F192" s="2" t="s">
        <v>29</v>
      </c>
      <c r="G192" s="2" t="s">
        <v>40</v>
      </c>
      <c r="H192" s="2" t="s">
        <v>17</v>
      </c>
      <c r="I192" s="2">
        <v>7</v>
      </c>
      <c r="J192" s="2">
        <v>1148.6500000000001</v>
      </c>
      <c r="K192" s="2">
        <v>15</v>
      </c>
      <c r="L192" s="2">
        <v>6834.47</v>
      </c>
    </row>
    <row r="193" spans="1:12" x14ac:dyDescent="0.35">
      <c r="A193" s="2">
        <v>10192</v>
      </c>
      <c r="B193" s="2">
        <v>1891</v>
      </c>
      <c r="C193" s="2" t="s">
        <v>12</v>
      </c>
      <c r="D193" s="2" t="s">
        <v>24</v>
      </c>
      <c r="E193" s="2" t="s">
        <v>25</v>
      </c>
      <c r="F193" s="2" t="s">
        <v>29</v>
      </c>
      <c r="G193" s="2" t="s">
        <v>40</v>
      </c>
      <c r="H193" s="2" t="s">
        <v>17</v>
      </c>
      <c r="I193" s="2">
        <v>2</v>
      </c>
      <c r="J193" s="2">
        <v>487.23</v>
      </c>
      <c r="K193" s="2">
        <v>15</v>
      </c>
      <c r="L193" s="2">
        <v>828.29</v>
      </c>
    </row>
    <row r="194" spans="1:12" x14ac:dyDescent="0.35">
      <c r="A194" s="2">
        <v>10193</v>
      </c>
      <c r="B194" s="2">
        <v>1460</v>
      </c>
      <c r="C194" s="2" t="s">
        <v>37</v>
      </c>
      <c r="D194" s="2" t="s">
        <v>31</v>
      </c>
      <c r="E194" s="2" t="s">
        <v>25</v>
      </c>
      <c r="F194" s="2" t="s">
        <v>21</v>
      </c>
      <c r="G194" s="2" t="s">
        <v>39</v>
      </c>
      <c r="H194" s="2" t="s">
        <v>27</v>
      </c>
      <c r="I194" s="2">
        <v>4</v>
      </c>
      <c r="J194" s="2">
        <v>496.18</v>
      </c>
      <c r="K194" s="2">
        <v>15</v>
      </c>
      <c r="L194" s="2">
        <v>1687.01</v>
      </c>
    </row>
    <row r="195" spans="1:12" x14ac:dyDescent="0.35">
      <c r="A195" s="2">
        <v>10194</v>
      </c>
      <c r="B195" s="2">
        <v>1690</v>
      </c>
      <c r="C195" s="2" t="s">
        <v>28</v>
      </c>
      <c r="D195" s="2" t="s">
        <v>33</v>
      </c>
      <c r="E195" s="2" t="s">
        <v>20</v>
      </c>
      <c r="F195" s="2" t="s">
        <v>21</v>
      </c>
      <c r="G195" s="2" t="s">
        <v>42</v>
      </c>
      <c r="H195" s="2" t="s">
        <v>36</v>
      </c>
      <c r="I195" s="2">
        <v>2</v>
      </c>
      <c r="J195" s="2">
        <v>894.01</v>
      </c>
      <c r="K195" s="2">
        <v>15</v>
      </c>
      <c r="L195" s="2">
        <v>1519.82</v>
      </c>
    </row>
    <row r="196" spans="1:12" x14ac:dyDescent="0.35">
      <c r="A196" s="2">
        <v>10195</v>
      </c>
      <c r="B196" s="2">
        <v>1574</v>
      </c>
      <c r="C196" s="2" t="s">
        <v>28</v>
      </c>
      <c r="D196" s="2" t="s">
        <v>19</v>
      </c>
      <c r="E196" s="2" t="s">
        <v>14</v>
      </c>
      <c r="F196" s="2" t="s">
        <v>29</v>
      </c>
      <c r="G196" s="2" t="s">
        <v>26</v>
      </c>
      <c r="H196" s="2" t="s">
        <v>38</v>
      </c>
      <c r="I196" s="2">
        <v>6</v>
      </c>
      <c r="J196" s="2">
        <v>344.65</v>
      </c>
      <c r="K196" s="2">
        <v>10</v>
      </c>
      <c r="L196" s="2">
        <v>1861.11</v>
      </c>
    </row>
    <row r="197" spans="1:12" x14ac:dyDescent="0.35">
      <c r="A197" s="2">
        <v>10196</v>
      </c>
      <c r="B197" s="2">
        <v>1863</v>
      </c>
      <c r="C197" s="2" t="s">
        <v>30</v>
      </c>
      <c r="D197" s="2" t="s">
        <v>24</v>
      </c>
      <c r="E197" s="2" t="s">
        <v>25</v>
      </c>
      <c r="F197" s="2" t="s">
        <v>35</v>
      </c>
      <c r="G197" s="2" t="s">
        <v>40</v>
      </c>
      <c r="H197" s="2" t="s">
        <v>17</v>
      </c>
      <c r="I197" s="2">
        <v>8</v>
      </c>
      <c r="J197" s="2">
        <v>2561.86</v>
      </c>
      <c r="K197" s="2">
        <v>0</v>
      </c>
      <c r="L197" s="2">
        <v>20494.88</v>
      </c>
    </row>
    <row r="198" spans="1:12" x14ac:dyDescent="0.35">
      <c r="A198" s="2">
        <v>10197</v>
      </c>
      <c r="B198" s="2">
        <v>1742</v>
      </c>
      <c r="C198" s="2" t="s">
        <v>13</v>
      </c>
      <c r="D198" s="2" t="s">
        <v>31</v>
      </c>
      <c r="E198" s="2" t="s">
        <v>14</v>
      </c>
      <c r="F198" s="2" t="s">
        <v>29</v>
      </c>
      <c r="G198" s="2" t="s">
        <v>39</v>
      </c>
      <c r="H198" s="2" t="s">
        <v>36</v>
      </c>
      <c r="I198" s="2">
        <v>4</v>
      </c>
      <c r="J198" s="2">
        <v>1256.21</v>
      </c>
      <c r="K198" s="2">
        <v>10</v>
      </c>
      <c r="L198" s="2">
        <v>4522.3599999999997</v>
      </c>
    </row>
    <row r="199" spans="1:12" x14ac:dyDescent="0.35">
      <c r="A199" s="2">
        <v>10198</v>
      </c>
      <c r="B199" s="2">
        <v>1240</v>
      </c>
      <c r="C199" s="2" t="s">
        <v>28</v>
      </c>
      <c r="D199" s="2" t="s">
        <v>33</v>
      </c>
      <c r="E199" s="2" t="s">
        <v>14</v>
      </c>
      <c r="F199" s="2" t="s">
        <v>34</v>
      </c>
      <c r="G199" s="2" t="s">
        <v>16</v>
      </c>
      <c r="H199" s="2" t="s">
        <v>36</v>
      </c>
      <c r="I199" s="2">
        <v>5</v>
      </c>
      <c r="J199" s="2">
        <v>1227.02</v>
      </c>
      <c r="K199" s="2">
        <v>15</v>
      </c>
      <c r="L199" s="2">
        <v>5214.84</v>
      </c>
    </row>
    <row r="200" spans="1:12" x14ac:dyDescent="0.35">
      <c r="A200" s="2">
        <v>10199</v>
      </c>
      <c r="B200" s="2">
        <v>1563</v>
      </c>
      <c r="C200" s="2" t="s">
        <v>28</v>
      </c>
      <c r="D200" s="2" t="s">
        <v>19</v>
      </c>
      <c r="E200" s="2" t="s">
        <v>20</v>
      </c>
      <c r="F200" s="2" t="s">
        <v>29</v>
      </c>
      <c r="G200" s="2" t="s">
        <v>39</v>
      </c>
      <c r="H200" s="2" t="s">
        <v>38</v>
      </c>
      <c r="I200" s="2">
        <v>4</v>
      </c>
      <c r="J200" s="2">
        <v>1428.19</v>
      </c>
      <c r="K200" s="2">
        <v>10</v>
      </c>
      <c r="L200" s="2">
        <v>5141.4799999999996</v>
      </c>
    </row>
    <row r="201" spans="1:12" x14ac:dyDescent="0.35">
      <c r="A201" s="2">
        <v>10200</v>
      </c>
      <c r="B201" s="2">
        <v>1095</v>
      </c>
      <c r="C201" s="2" t="s">
        <v>12</v>
      </c>
      <c r="D201" s="2" t="s">
        <v>24</v>
      </c>
      <c r="E201" s="2" t="s">
        <v>25</v>
      </c>
      <c r="F201" s="2" t="s">
        <v>35</v>
      </c>
      <c r="G201" s="2" t="s">
        <v>16</v>
      </c>
      <c r="H201" s="2" t="s">
        <v>27</v>
      </c>
      <c r="I201" s="2">
        <v>3</v>
      </c>
      <c r="J201" s="2">
        <v>2701.77</v>
      </c>
      <c r="K201" s="2">
        <v>15</v>
      </c>
      <c r="L201" s="2">
        <v>6889.51</v>
      </c>
    </row>
    <row r="202" spans="1:12" x14ac:dyDescent="0.35">
      <c r="A202" s="2">
        <v>10201</v>
      </c>
      <c r="B202" s="2">
        <v>1899</v>
      </c>
      <c r="C202" s="2" t="s">
        <v>12</v>
      </c>
      <c r="D202" s="2" t="s">
        <v>24</v>
      </c>
      <c r="E202" s="2" t="s">
        <v>25</v>
      </c>
      <c r="F202" s="2" t="s">
        <v>34</v>
      </c>
      <c r="G202" s="2" t="s">
        <v>42</v>
      </c>
      <c r="H202" s="2" t="s">
        <v>23</v>
      </c>
      <c r="I202" s="2">
        <v>5</v>
      </c>
      <c r="J202" s="2">
        <v>3501.94</v>
      </c>
      <c r="K202" s="2">
        <v>20</v>
      </c>
      <c r="L202" s="2">
        <v>14007.76</v>
      </c>
    </row>
    <row r="203" spans="1:12" x14ac:dyDescent="0.35">
      <c r="A203" s="2">
        <v>10202</v>
      </c>
      <c r="B203" s="2">
        <v>1733</v>
      </c>
      <c r="C203" s="2" t="s">
        <v>32</v>
      </c>
      <c r="D203" s="2" t="s">
        <v>41</v>
      </c>
      <c r="E203" s="2" t="s">
        <v>14</v>
      </c>
      <c r="F203" s="2" t="s">
        <v>15</v>
      </c>
      <c r="G203" s="2" t="s">
        <v>26</v>
      </c>
      <c r="H203" s="2" t="s">
        <v>23</v>
      </c>
      <c r="I203" s="2">
        <v>9</v>
      </c>
      <c r="J203" s="2">
        <v>3072.48</v>
      </c>
      <c r="K203" s="2">
        <v>0</v>
      </c>
      <c r="L203" s="2">
        <v>27652.32</v>
      </c>
    </row>
    <row r="204" spans="1:12" x14ac:dyDescent="0.35">
      <c r="A204" s="2">
        <v>10203</v>
      </c>
      <c r="B204" s="2">
        <v>1484</v>
      </c>
      <c r="C204" s="2" t="s">
        <v>18</v>
      </c>
      <c r="D204" s="2" t="s">
        <v>41</v>
      </c>
      <c r="E204" s="2" t="s">
        <v>25</v>
      </c>
      <c r="F204" s="2" t="s">
        <v>15</v>
      </c>
      <c r="G204" s="2" t="s">
        <v>39</v>
      </c>
      <c r="H204" s="2" t="s">
        <v>36</v>
      </c>
      <c r="I204" s="2">
        <v>8</v>
      </c>
      <c r="J204" s="2">
        <v>2950.99</v>
      </c>
      <c r="K204" s="2">
        <v>20</v>
      </c>
      <c r="L204" s="2">
        <v>18886.34</v>
      </c>
    </row>
    <row r="205" spans="1:12" x14ac:dyDescent="0.35">
      <c r="A205" s="2">
        <v>10204</v>
      </c>
      <c r="B205" s="2">
        <v>1406</v>
      </c>
      <c r="C205" s="2" t="s">
        <v>18</v>
      </c>
      <c r="D205" s="2" t="s">
        <v>33</v>
      </c>
      <c r="E205" s="2" t="s">
        <v>14</v>
      </c>
      <c r="F205" s="2" t="s">
        <v>35</v>
      </c>
      <c r="G205" s="2" t="s">
        <v>22</v>
      </c>
      <c r="H205" s="2" t="s">
        <v>38</v>
      </c>
      <c r="I205" s="2">
        <v>8</v>
      </c>
      <c r="J205" s="2">
        <v>2014.91</v>
      </c>
      <c r="K205" s="2">
        <v>5</v>
      </c>
      <c r="L205" s="2">
        <v>15313.32</v>
      </c>
    </row>
    <row r="206" spans="1:12" x14ac:dyDescent="0.35">
      <c r="A206" s="2">
        <v>10205</v>
      </c>
      <c r="B206" s="2">
        <v>1230</v>
      </c>
      <c r="C206" s="2" t="s">
        <v>37</v>
      </c>
      <c r="D206" s="2" t="s">
        <v>19</v>
      </c>
      <c r="E206" s="2" t="s">
        <v>14</v>
      </c>
      <c r="F206" s="2" t="s">
        <v>29</v>
      </c>
      <c r="G206" s="2" t="s">
        <v>40</v>
      </c>
      <c r="H206" s="2" t="s">
        <v>23</v>
      </c>
      <c r="I206" s="2">
        <v>8</v>
      </c>
      <c r="J206" s="2">
        <v>2821.15</v>
      </c>
      <c r="K206" s="2">
        <v>10</v>
      </c>
      <c r="L206" s="2">
        <v>20312.28</v>
      </c>
    </row>
    <row r="207" spans="1:12" x14ac:dyDescent="0.35">
      <c r="A207" s="2">
        <v>10206</v>
      </c>
      <c r="B207" s="2">
        <v>1748</v>
      </c>
      <c r="C207" s="2" t="s">
        <v>18</v>
      </c>
      <c r="D207" s="2" t="s">
        <v>24</v>
      </c>
      <c r="E207" s="2" t="s">
        <v>20</v>
      </c>
      <c r="F207" s="2" t="s">
        <v>21</v>
      </c>
      <c r="G207" s="2" t="s">
        <v>42</v>
      </c>
      <c r="H207" s="2" t="s">
        <v>36</v>
      </c>
      <c r="I207" s="2">
        <v>8</v>
      </c>
      <c r="J207" s="2">
        <v>2278.14</v>
      </c>
      <c r="K207" s="2">
        <v>5</v>
      </c>
      <c r="L207" s="2">
        <v>17313.86</v>
      </c>
    </row>
    <row r="208" spans="1:12" x14ac:dyDescent="0.35">
      <c r="A208" s="2">
        <v>10207</v>
      </c>
      <c r="B208" s="2">
        <v>1654</v>
      </c>
      <c r="C208" s="2" t="s">
        <v>30</v>
      </c>
      <c r="D208" s="2" t="s">
        <v>33</v>
      </c>
      <c r="E208" s="2" t="s">
        <v>20</v>
      </c>
      <c r="F208" s="2" t="s">
        <v>35</v>
      </c>
      <c r="G208" s="2" t="s">
        <v>39</v>
      </c>
      <c r="H208" s="2" t="s">
        <v>27</v>
      </c>
      <c r="I208" s="2">
        <v>7</v>
      </c>
      <c r="J208" s="2">
        <v>982.56</v>
      </c>
      <c r="K208" s="2">
        <v>10</v>
      </c>
      <c r="L208" s="2">
        <v>6190.13</v>
      </c>
    </row>
    <row r="209" spans="1:12" x14ac:dyDescent="0.35">
      <c r="A209" s="2">
        <v>10208</v>
      </c>
      <c r="B209" s="2">
        <v>1170</v>
      </c>
      <c r="C209" s="2" t="s">
        <v>37</v>
      </c>
      <c r="D209" s="2" t="s">
        <v>33</v>
      </c>
      <c r="E209" s="2" t="s">
        <v>20</v>
      </c>
      <c r="F209" s="2" t="s">
        <v>34</v>
      </c>
      <c r="G209" s="2" t="s">
        <v>40</v>
      </c>
      <c r="H209" s="2" t="s">
        <v>23</v>
      </c>
      <c r="I209" s="2">
        <v>8</v>
      </c>
      <c r="J209" s="2">
        <v>953.07</v>
      </c>
      <c r="K209" s="2">
        <v>20</v>
      </c>
      <c r="L209" s="2">
        <v>6099.65</v>
      </c>
    </row>
    <row r="210" spans="1:12" x14ac:dyDescent="0.35">
      <c r="A210" s="2">
        <v>10209</v>
      </c>
      <c r="B210" s="2">
        <v>1540</v>
      </c>
      <c r="C210" s="2" t="s">
        <v>32</v>
      </c>
      <c r="D210" s="2" t="s">
        <v>13</v>
      </c>
      <c r="E210" s="2" t="s">
        <v>14</v>
      </c>
      <c r="F210" s="2" t="s">
        <v>34</v>
      </c>
      <c r="G210" s="2" t="s">
        <v>39</v>
      </c>
      <c r="H210" s="2" t="s">
        <v>36</v>
      </c>
      <c r="I210" s="2">
        <v>8</v>
      </c>
      <c r="J210" s="2">
        <v>1291.1099999999999</v>
      </c>
      <c r="K210" s="2">
        <v>15</v>
      </c>
      <c r="L210" s="2">
        <v>8779.5499999999993</v>
      </c>
    </row>
    <row r="211" spans="1:12" x14ac:dyDescent="0.35">
      <c r="A211" s="2">
        <v>10210</v>
      </c>
      <c r="B211" s="2">
        <v>1035</v>
      </c>
      <c r="C211" s="2" t="s">
        <v>12</v>
      </c>
      <c r="D211" s="2" t="s">
        <v>41</v>
      </c>
      <c r="E211" s="2" t="s">
        <v>25</v>
      </c>
      <c r="F211" s="2" t="s">
        <v>15</v>
      </c>
      <c r="G211" s="2" t="s">
        <v>16</v>
      </c>
      <c r="H211" s="2" t="s">
        <v>36</v>
      </c>
      <c r="I211" s="2">
        <v>8</v>
      </c>
      <c r="J211" s="2">
        <v>3656.59</v>
      </c>
      <c r="K211" s="2">
        <v>15</v>
      </c>
      <c r="L211" s="2">
        <v>24864.81</v>
      </c>
    </row>
    <row r="212" spans="1:12" x14ac:dyDescent="0.35">
      <c r="A212" s="2">
        <v>10211</v>
      </c>
      <c r="B212" s="2">
        <v>1524</v>
      </c>
      <c r="C212" s="2" t="s">
        <v>18</v>
      </c>
      <c r="D212" s="2" t="s">
        <v>19</v>
      </c>
      <c r="E212" s="2" t="s">
        <v>20</v>
      </c>
      <c r="F212" s="2" t="s">
        <v>34</v>
      </c>
      <c r="G212" s="2" t="s">
        <v>39</v>
      </c>
      <c r="H212" s="2" t="s">
        <v>17</v>
      </c>
      <c r="I212" s="2">
        <v>7</v>
      </c>
      <c r="J212" s="2">
        <v>2257.5500000000002</v>
      </c>
      <c r="K212" s="2">
        <v>10</v>
      </c>
      <c r="L212" s="2">
        <v>14222.56</v>
      </c>
    </row>
    <row r="213" spans="1:12" x14ac:dyDescent="0.35">
      <c r="A213" s="2">
        <v>10212</v>
      </c>
      <c r="B213" s="2">
        <v>1159</v>
      </c>
      <c r="C213" s="2" t="s">
        <v>13</v>
      </c>
      <c r="D213" s="2" t="s">
        <v>24</v>
      </c>
      <c r="E213" s="2" t="s">
        <v>25</v>
      </c>
      <c r="F213" s="2" t="s">
        <v>35</v>
      </c>
      <c r="G213" s="2" t="s">
        <v>22</v>
      </c>
      <c r="H213" s="2" t="s">
        <v>27</v>
      </c>
      <c r="I213" s="2">
        <v>1</v>
      </c>
      <c r="J213" s="2">
        <v>2975.54</v>
      </c>
      <c r="K213" s="2">
        <v>15</v>
      </c>
      <c r="L213" s="2">
        <v>2529.21</v>
      </c>
    </row>
    <row r="214" spans="1:12" x14ac:dyDescent="0.35">
      <c r="A214" s="2">
        <v>10213</v>
      </c>
      <c r="B214" s="2">
        <v>1838</v>
      </c>
      <c r="C214" s="2" t="s">
        <v>12</v>
      </c>
      <c r="D214" s="2" t="s">
        <v>33</v>
      </c>
      <c r="E214" s="2" t="s">
        <v>20</v>
      </c>
      <c r="F214" s="2" t="s">
        <v>34</v>
      </c>
      <c r="G214" s="2" t="s">
        <v>39</v>
      </c>
      <c r="H214" s="2" t="s">
        <v>17</v>
      </c>
      <c r="I214" s="2">
        <v>4</v>
      </c>
      <c r="J214" s="2">
        <v>1484.25</v>
      </c>
      <c r="K214" s="2">
        <v>20</v>
      </c>
      <c r="L214" s="2">
        <v>4749.6000000000004</v>
      </c>
    </row>
    <row r="215" spans="1:12" x14ac:dyDescent="0.35">
      <c r="A215" s="2">
        <v>10214</v>
      </c>
      <c r="B215" s="2">
        <v>1698</v>
      </c>
      <c r="C215" s="2" t="s">
        <v>30</v>
      </c>
      <c r="D215" s="2" t="s">
        <v>24</v>
      </c>
      <c r="E215" s="2" t="s">
        <v>20</v>
      </c>
      <c r="F215" s="2" t="s">
        <v>35</v>
      </c>
      <c r="G215" s="2" t="s">
        <v>39</v>
      </c>
      <c r="H215" s="2" t="s">
        <v>38</v>
      </c>
      <c r="I215" s="2">
        <v>4</v>
      </c>
      <c r="J215" s="2">
        <v>1719.71</v>
      </c>
      <c r="K215" s="2">
        <v>15</v>
      </c>
      <c r="L215" s="2">
        <v>5847.01</v>
      </c>
    </row>
    <row r="216" spans="1:12" x14ac:dyDescent="0.35">
      <c r="A216" s="2">
        <v>10215</v>
      </c>
      <c r="B216" s="2">
        <v>1242</v>
      </c>
      <c r="C216" s="2" t="s">
        <v>12</v>
      </c>
      <c r="D216" s="2" t="s">
        <v>13</v>
      </c>
      <c r="E216" s="2" t="s">
        <v>14</v>
      </c>
      <c r="F216" s="2" t="s">
        <v>21</v>
      </c>
      <c r="G216" s="2" t="s">
        <v>22</v>
      </c>
      <c r="H216" s="2" t="s">
        <v>17</v>
      </c>
      <c r="I216" s="2">
        <v>5</v>
      </c>
      <c r="J216" s="2">
        <v>633.42999999999995</v>
      </c>
      <c r="K216" s="2">
        <v>20</v>
      </c>
      <c r="L216" s="2">
        <v>2533.7199999999998</v>
      </c>
    </row>
    <row r="217" spans="1:12" x14ac:dyDescent="0.35">
      <c r="A217" s="2">
        <v>10216</v>
      </c>
      <c r="B217" s="2">
        <v>1085</v>
      </c>
      <c r="C217" s="2" t="s">
        <v>30</v>
      </c>
      <c r="D217" s="2" t="s">
        <v>19</v>
      </c>
      <c r="E217" s="2" t="s">
        <v>20</v>
      </c>
      <c r="F217" s="2" t="s">
        <v>15</v>
      </c>
      <c r="G217" s="2" t="s">
        <v>42</v>
      </c>
      <c r="H217" s="2" t="s">
        <v>17</v>
      </c>
      <c r="I217" s="2">
        <v>6</v>
      </c>
      <c r="J217" s="2">
        <v>809.49</v>
      </c>
      <c r="K217" s="2">
        <v>5</v>
      </c>
      <c r="L217" s="2">
        <v>4614.09</v>
      </c>
    </row>
    <row r="218" spans="1:12" x14ac:dyDescent="0.35">
      <c r="A218" s="2">
        <v>10217</v>
      </c>
      <c r="B218" s="2">
        <v>1795</v>
      </c>
      <c r="C218" s="2" t="s">
        <v>30</v>
      </c>
      <c r="D218" s="2" t="s">
        <v>33</v>
      </c>
      <c r="E218" s="2" t="s">
        <v>20</v>
      </c>
      <c r="F218" s="2" t="s">
        <v>34</v>
      </c>
      <c r="G218" s="2" t="s">
        <v>39</v>
      </c>
      <c r="H218" s="2" t="s">
        <v>23</v>
      </c>
      <c r="I218" s="2">
        <v>4</v>
      </c>
      <c r="J218" s="2">
        <v>3335.32</v>
      </c>
      <c r="K218" s="2">
        <v>20</v>
      </c>
      <c r="L218" s="2">
        <v>10673.02</v>
      </c>
    </row>
    <row r="219" spans="1:12" x14ac:dyDescent="0.35">
      <c r="A219" s="2">
        <v>10218</v>
      </c>
      <c r="B219" s="2">
        <v>1577</v>
      </c>
      <c r="C219" s="2" t="s">
        <v>30</v>
      </c>
      <c r="D219" s="2" t="s">
        <v>24</v>
      </c>
      <c r="E219" s="2" t="s">
        <v>14</v>
      </c>
      <c r="F219" s="2" t="s">
        <v>35</v>
      </c>
      <c r="G219" s="2" t="s">
        <v>22</v>
      </c>
      <c r="H219" s="2" t="s">
        <v>36</v>
      </c>
      <c r="I219" s="2">
        <v>2</v>
      </c>
      <c r="J219" s="2">
        <v>2401.63</v>
      </c>
      <c r="K219" s="2">
        <v>0</v>
      </c>
      <c r="L219" s="2">
        <v>4803.26</v>
      </c>
    </row>
    <row r="220" spans="1:12" x14ac:dyDescent="0.35">
      <c r="A220" s="2">
        <v>10219</v>
      </c>
      <c r="B220" s="2">
        <v>1681</v>
      </c>
      <c r="C220" s="2" t="s">
        <v>32</v>
      </c>
      <c r="D220" s="2" t="s">
        <v>41</v>
      </c>
      <c r="E220" s="2" t="s">
        <v>25</v>
      </c>
      <c r="F220" s="2" t="s">
        <v>29</v>
      </c>
      <c r="G220" s="2" t="s">
        <v>40</v>
      </c>
      <c r="H220" s="2" t="s">
        <v>27</v>
      </c>
      <c r="I220" s="2">
        <v>6</v>
      </c>
      <c r="J220" s="2">
        <v>1449.5</v>
      </c>
      <c r="K220" s="2">
        <v>0</v>
      </c>
      <c r="L220" s="2">
        <v>8697</v>
      </c>
    </row>
    <row r="221" spans="1:12" x14ac:dyDescent="0.35">
      <c r="A221" s="2">
        <v>10220</v>
      </c>
      <c r="B221" s="2">
        <v>1556</v>
      </c>
      <c r="C221" s="2" t="s">
        <v>30</v>
      </c>
      <c r="D221" s="2" t="s">
        <v>13</v>
      </c>
      <c r="E221" s="2" t="s">
        <v>20</v>
      </c>
      <c r="F221" s="2" t="s">
        <v>15</v>
      </c>
      <c r="G221" s="2" t="s">
        <v>16</v>
      </c>
      <c r="H221" s="2" t="s">
        <v>17</v>
      </c>
      <c r="I221" s="2">
        <v>8</v>
      </c>
      <c r="J221" s="2">
        <v>3240.98</v>
      </c>
      <c r="K221" s="2">
        <v>0</v>
      </c>
      <c r="L221" s="2">
        <v>25927.84</v>
      </c>
    </row>
    <row r="222" spans="1:12" x14ac:dyDescent="0.35">
      <c r="A222" s="2">
        <v>10221</v>
      </c>
      <c r="B222" s="2">
        <v>1573</v>
      </c>
      <c r="C222" s="2" t="s">
        <v>30</v>
      </c>
      <c r="D222" s="2" t="s">
        <v>19</v>
      </c>
      <c r="E222" s="2" t="s">
        <v>14</v>
      </c>
      <c r="F222" s="2" t="s">
        <v>21</v>
      </c>
      <c r="G222" s="2" t="s">
        <v>16</v>
      </c>
      <c r="H222" s="2" t="s">
        <v>27</v>
      </c>
      <c r="I222" s="2">
        <v>8</v>
      </c>
      <c r="J222" s="2">
        <v>1099.0999999999999</v>
      </c>
      <c r="K222" s="2">
        <v>10</v>
      </c>
      <c r="L222" s="2">
        <v>7913.52</v>
      </c>
    </row>
    <row r="223" spans="1:12" x14ac:dyDescent="0.35">
      <c r="A223" s="2">
        <v>10222</v>
      </c>
      <c r="B223" s="2">
        <v>1952</v>
      </c>
      <c r="C223" s="2" t="s">
        <v>13</v>
      </c>
      <c r="D223" s="2" t="s">
        <v>13</v>
      </c>
      <c r="E223" s="2" t="s">
        <v>20</v>
      </c>
      <c r="F223" s="2" t="s">
        <v>35</v>
      </c>
      <c r="G223" s="2" t="s">
        <v>39</v>
      </c>
      <c r="H223" s="2" t="s">
        <v>17</v>
      </c>
      <c r="I223" s="2">
        <v>7</v>
      </c>
      <c r="J223" s="2">
        <v>3907.73</v>
      </c>
      <c r="K223" s="2">
        <v>10</v>
      </c>
      <c r="L223" s="2">
        <v>24618.7</v>
      </c>
    </row>
    <row r="224" spans="1:12" x14ac:dyDescent="0.35">
      <c r="A224" s="2">
        <v>10223</v>
      </c>
      <c r="B224" s="2">
        <v>1645</v>
      </c>
      <c r="C224" s="2" t="s">
        <v>37</v>
      </c>
      <c r="D224" s="2" t="s">
        <v>41</v>
      </c>
      <c r="E224" s="2" t="s">
        <v>14</v>
      </c>
      <c r="F224" s="2" t="s">
        <v>21</v>
      </c>
      <c r="G224" s="2" t="s">
        <v>42</v>
      </c>
      <c r="H224" s="2" t="s">
        <v>38</v>
      </c>
      <c r="I224" s="2">
        <v>6</v>
      </c>
      <c r="J224" s="2">
        <v>1477.55</v>
      </c>
      <c r="K224" s="2">
        <v>10</v>
      </c>
      <c r="L224" s="2">
        <v>7978.77</v>
      </c>
    </row>
    <row r="225" spans="1:12" x14ac:dyDescent="0.35">
      <c r="A225" s="2">
        <v>10224</v>
      </c>
      <c r="B225" s="2">
        <v>1795</v>
      </c>
      <c r="C225" s="2" t="s">
        <v>28</v>
      </c>
      <c r="D225" s="2" t="s">
        <v>19</v>
      </c>
      <c r="E225" s="2" t="s">
        <v>25</v>
      </c>
      <c r="F225" s="2" t="s">
        <v>21</v>
      </c>
      <c r="G225" s="2" t="s">
        <v>42</v>
      </c>
      <c r="H225" s="2" t="s">
        <v>17</v>
      </c>
      <c r="I225" s="2">
        <v>2</v>
      </c>
      <c r="J225" s="2">
        <v>1448.65</v>
      </c>
      <c r="K225" s="2">
        <v>20</v>
      </c>
      <c r="L225" s="2">
        <v>2317.84</v>
      </c>
    </row>
    <row r="226" spans="1:12" x14ac:dyDescent="0.35">
      <c r="A226" s="2">
        <v>10225</v>
      </c>
      <c r="B226" s="2">
        <v>1027</v>
      </c>
      <c r="C226" s="2" t="s">
        <v>37</v>
      </c>
      <c r="D226" s="2" t="s">
        <v>13</v>
      </c>
      <c r="E226" s="2" t="s">
        <v>25</v>
      </c>
      <c r="F226" s="2" t="s">
        <v>34</v>
      </c>
      <c r="G226" s="2" t="s">
        <v>40</v>
      </c>
      <c r="H226" s="2" t="s">
        <v>23</v>
      </c>
      <c r="I226" s="2">
        <v>7</v>
      </c>
      <c r="J226" s="2">
        <v>1350.86</v>
      </c>
      <c r="K226" s="2">
        <v>10</v>
      </c>
      <c r="L226" s="2">
        <v>8510.42</v>
      </c>
    </row>
    <row r="227" spans="1:12" x14ac:dyDescent="0.35">
      <c r="A227" s="2">
        <v>10226</v>
      </c>
      <c r="B227" s="2">
        <v>1619</v>
      </c>
      <c r="C227" s="2" t="s">
        <v>30</v>
      </c>
      <c r="D227" s="2" t="s">
        <v>31</v>
      </c>
      <c r="E227" s="2" t="s">
        <v>14</v>
      </c>
      <c r="F227" s="2" t="s">
        <v>34</v>
      </c>
      <c r="G227" s="2" t="s">
        <v>39</v>
      </c>
      <c r="H227" s="2" t="s">
        <v>36</v>
      </c>
      <c r="I227" s="2">
        <v>5</v>
      </c>
      <c r="J227" s="2">
        <v>620.13</v>
      </c>
      <c r="K227" s="2">
        <v>5</v>
      </c>
      <c r="L227" s="2">
        <v>2945.62</v>
      </c>
    </row>
    <row r="228" spans="1:12" x14ac:dyDescent="0.35">
      <c r="A228" s="2">
        <v>10227</v>
      </c>
      <c r="B228" s="2">
        <v>1555</v>
      </c>
      <c r="C228" s="2" t="s">
        <v>13</v>
      </c>
      <c r="D228" s="2" t="s">
        <v>41</v>
      </c>
      <c r="E228" s="2" t="s">
        <v>14</v>
      </c>
      <c r="F228" s="2" t="s">
        <v>35</v>
      </c>
      <c r="G228" s="2" t="s">
        <v>16</v>
      </c>
      <c r="H228" s="2" t="s">
        <v>38</v>
      </c>
      <c r="I228" s="2">
        <v>6</v>
      </c>
      <c r="J228" s="2">
        <v>577.88</v>
      </c>
      <c r="K228" s="2">
        <v>0</v>
      </c>
      <c r="L228" s="2">
        <v>3467.28</v>
      </c>
    </row>
    <row r="229" spans="1:12" x14ac:dyDescent="0.35">
      <c r="A229" s="2">
        <v>10228</v>
      </c>
      <c r="B229" s="2">
        <v>1339</v>
      </c>
      <c r="C229" s="2" t="s">
        <v>12</v>
      </c>
      <c r="D229" s="2" t="s">
        <v>41</v>
      </c>
      <c r="E229" s="2" t="s">
        <v>14</v>
      </c>
      <c r="F229" s="2" t="s">
        <v>29</v>
      </c>
      <c r="G229" s="2" t="s">
        <v>42</v>
      </c>
      <c r="H229" s="2" t="s">
        <v>17</v>
      </c>
      <c r="I229" s="2">
        <v>8</v>
      </c>
      <c r="J229" s="2">
        <v>2645.2</v>
      </c>
      <c r="K229" s="2">
        <v>20</v>
      </c>
      <c r="L229" s="2">
        <v>16929.28</v>
      </c>
    </row>
    <row r="230" spans="1:12" x14ac:dyDescent="0.35">
      <c r="A230" s="2">
        <v>10229</v>
      </c>
      <c r="B230" s="2">
        <v>1797</v>
      </c>
      <c r="C230" s="2" t="s">
        <v>13</v>
      </c>
      <c r="D230" s="2" t="s">
        <v>41</v>
      </c>
      <c r="E230" s="2" t="s">
        <v>25</v>
      </c>
      <c r="F230" s="2" t="s">
        <v>35</v>
      </c>
      <c r="G230" s="2" t="s">
        <v>39</v>
      </c>
      <c r="H230" s="2" t="s">
        <v>27</v>
      </c>
      <c r="I230" s="2">
        <v>8</v>
      </c>
      <c r="J230" s="2">
        <v>3519.2</v>
      </c>
      <c r="K230" s="2">
        <v>0</v>
      </c>
      <c r="L230" s="2">
        <v>28153.599999999999</v>
      </c>
    </row>
    <row r="231" spans="1:12" x14ac:dyDescent="0.35">
      <c r="A231" s="2">
        <v>10230</v>
      </c>
      <c r="B231" s="2">
        <v>1957</v>
      </c>
      <c r="C231" s="2" t="s">
        <v>30</v>
      </c>
      <c r="D231" s="2" t="s">
        <v>31</v>
      </c>
      <c r="E231" s="2" t="s">
        <v>20</v>
      </c>
      <c r="F231" s="2" t="s">
        <v>29</v>
      </c>
      <c r="G231" s="2" t="s">
        <v>42</v>
      </c>
      <c r="H231" s="2" t="s">
        <v>38</v>
      </c>
      <c r="I231" s="2">
        <v>3</v>
      </c>
      <c r="J231" s="2">
        <v>3193.5</v>
      </c>
      <c r="K231" s="2">
        <v>10</v>
      </c>
      <c r="L231" s="2">
        <v>8622.4500000000007</v>
      </c>
    </row>
    <row r="232" spans="1:12" x14ac:dyDescent="0.35">
      <c r="A232" s="2">
        <v>10231</v>
      </c>
      <c r="B232" s="2">
        <v>1330</v>
      </c>
      <c r="C232" s="2" t="s">
        <v>13</v>
      </c>
      <c r="D232" s="2" t="s">
        <v>31</v>
      </c>
      <c r="E232" s="2" t="s">
        <v>25</v>
      </c>
      <c r="F232" s="2" t="s">
        <v>21</v>
      </c>
      <c r="G232" s="2" t="s">
        <v>22</v>
      </c>
      <c r="H232" s="2" t="s">
        <v>38</v>
      </c>
      <c r="I232" s="2">
        <v>7</v>
      </c>
      <c r="J232" s="2">
        <v>693.26</v>
      </c>
      <c r="K232" s="2">
        <v>20</v>
      </c>
      <c r="L232" s="2">
        <v>3882.26</v>
      </c>
    </row>
    <row r="233" spans="1:12" x14ac:dyDescent="0.35">
      <c r="A233" s="2">
        <v>10232</v>
      </c>
      <c r="B233" s="2">
        <v>1639</v>
      </c>
      <c r="C233" s="2" t="s">
        <v>18</v>
      </c>
      <c r="D233" s="2" t="s">
        <v>24</v>
      </c>
      <c r="E233" s="2" t="s">
        <v>14</v>
      </c>
      <c r="F233" s="2" t="s">
        <v>15</v>
      </c>
      <c r="G233" s="2" t="s">
        <v>42</v>
      </c>
      <c r="H233" s="2" t="s">
        <v>17</v>
      </c>
      <c r="I233" s="2">
        <v>1</v>
      </c>
      <c r="J233" s="2">
        <v>2250.4899999999998</v>
      </c>
      <c r="K233" s="2">
        <v>15</v>
      </c>
      <c r="L233" s="2">
        <v>1912.92</v>
      </c>
    </row>
    <row r="234" spans="1:12" x14ac:dyDescent="0.35">
      <c r="A234" s="2">
        <v>10233</v>
      </c>
      <c r="B234" s="2">
        <v>1505</v>
      </c>
      <c r="C234" s="2" t="s">
        <v>13</v>
      </c>
      <c r="D234" s="2" t="s">
        <v>33</v>
      </c>
      <c r="E234" s="2" t="s">
        <v>14</v>
      </c>
      <c r="F234" s="2" t="s">
        <v>35</v>
      </c>
      <c r="G234" s="2" t="s">
        <v>16</v>
      </c>
      <c r="H234" s="2" t="s">
        <v>38</v>
      </c>
      <c r="I234" s="2">
        <v>1</v>
      </c>
      <c r="J234" s="2">
        <v>556.53</v>
      </c>
      <c r="K234" s="2">
        <v>5</v>
      </c>
      <c r="L234" s="2">
        <v>528.70000000000005</v>
      </c>
    </row>
    <row r="235" spans="1:12" x14ac:dyDescent="0.35">
      <c r="A235" s="2">
        <v>10234</v>
      </c>
      <c r="B235" s="2">
        <v>1347</v>
      </c>
      <c r="C235" s="2" t="s">
        <v>30</v>
      </c>
      <c r="D235" s="2" t="s">
        <v>13</v>
      </c>
      <c r="E235" s="2" t="s">
        <v>25</v>
      </c>
      <c r="F235" s="2" t="s">
        <v>35</v>
      </c>
      <c r="G235" s="2" t="s">
        <v>26</v>
      </c>
      <c r="H235" s="2" t="s">
        <v>27</v>
      </c>
      <c r="I235" s="2">
        <v>7</v>
      </c>
      <c r="J235" s="2">
        <v>324.38</v>
      </c>
      <c r="K235" s="2">
        <v>10</v>
      </c>
      <c r="L235" s="2">
        <v>2043.59</v>
      </c>
    </row>
    <row r="236" spans="1:12" x14ac:dyDescent="0.35">
      <c r="A236" s="2">
        <v>10235</v>
      </c>
      <c r="B236" s="2">
        <v>1472</v>
      </c>
      <c r="C236" s="2" t="s">
        <v>32</v>
      </c>
      <c r="D236" s="2" t="s">
        <v>24</v>
      </c>
      <c r="E236" s="2" t="s">
        <v>14</v>
      </c>
      <c r="F236" s="2" t="s">
        <v>29</v>
      </c>
      <c r="G236" s="2" t="s">
        <v>40</v>
      </c>
      <c r="H236" s="2" t="s">
        <v>38</v>
      </c>
      <c r="I236" s="2">
        <v>9</v>
      </c>
      <c r="J236" s="2">
        <v>2677.09</v>
      </c>
      <c r="K236" s="2">
        <v>10</v>
      </c>
      <c r="L236" s="2">
        <v>21684.43</v>
      </c>
    </row>
    <row r="237" spans="1:12" x14ac:dyDescent="0.35">
      <c r="A237" s="2">
        <v>10236</v>
      </c>
      <c r="B237" s="2">
        <v>1230</v>
      </c>
      <c r="C237" s="2" t="s">
        <v>18</v>
      </c>
      <c r="D237" s="2" t="s">
        <v>13</v>
      </c>
      <c r="E237" s="2" t="s">
        <v>25</v>
      </c>
      <c r="F237" s="2" t="s">
        <v>21</v>
      </c>
      <c r="G237" s="2" t="s">
        <v>40</v>
      </c>
      <c r="H237" s="2" t="s">
        <v>27</v>
      </c>
      <c r="I237" s="2">
        <v>7</v>
      </c>
      <c r="J237" s="2">
        <v>2210.34</v>
      </c>
      <c r="K237" s="2">
        <v>5</v>
      </c>
      <c r="L237" s="2">
        <v>14698.76</v>
      </c>
    </row>
    <row r="238" spans="1:12" x14ac:dyDescent="0.35">
      <c r="A238" s="2">
        <v>10237</v>
      </c>
      <c r="B238" s="2">
        <v>1189</v>
      </c>
      <c r="C238" s="2" t="s">
        <v>13</v>
      </c>
      <c r="D238" s="2" t="s">
        <v>33</v>
      </c>
      <c r="E238" s="2" t="s">
        <v>14</v>
      </c>
      <c r="F238" s="2" t="s">
        <v>21</v>
      </c>
      <c r="G238" s="2" t="s">
        <v>16</v>
      </c>
      <c r="H238" s="2" t="s">
        <v>17</v>
      </c>
      <c r="I238" s="2">
        <v>5</v>
      </c>
      <c r="J238" s="2">
        <v>465.79</v>
      </c>
      <c r="K238" s="2">
        <v>5</v>
      </c>
      <c r="L238" s="2">
        <v>2212.5</v>
      </c>
    </row>
    <row r="239" spans="1:12" x14ac:dyDescent="0.35">
      <c r="A239" s="2">
        <v>10238</v>
      </c>
      <c r="B239" s="2">
        <v>1224</v>
      </c>
      <c r="C239" s="2" t="s">
        <v>28</v>
      </c>
      <c r="D239" s="2" t="s">
        <v>31</v>
      </c>
      <c r="E239" s="2" t="s">
        <v>20</v>
      </c>
      <c r="F239" s="2" t="s">
        <v>29</v>
      </c>
      <c r="G239" s="2" t="s">
        <v>42</v>
      </c>
      <c r="H239" s="2" t="s">
        <v>36</v>
      </c>
      <c r="I239" s="2">
        <v>8</v>
      </c>
      <c r="J239" s="2">
        <v>284.52</v>
      </c>
      <c r="K239" s="2">
        <v>15</v>
      </c>
      <c r="L239" s="2">
        <v>1934.74</v>
      </c>
    </row>
    <row r="240" spans="1:12" x14ac:dyDescent="0.35">
      <c r="A240" s="2">
        <v>10239</v>
      </c>
      <c r="B240" s="2">
        <v>1384</v>
      </c>
      <c r="C240" s="2" t="s">
        <v>28</v>
      </c>
      <c r="D240" s="2" t="s">
        <v>33</v>
      </c>
      <c r="E240" s="2" t="s">
        <v>20</v>
      </c>
      <c r="F240" s="2" t="s">
        <v>21</v>
      </c>
      <c r="G240" s="2" t="s">
        <v>39</v>
      </c>
      <c r="H240" s="2" t="s">
        <v>38</v>
      </c>
      <c r="I240" s="2">
        <v>2</v>
      </c>
      <c r="J240" s="2">
        <v>3960.56</v>
      </c>
      <c r="K240" s="2">
        <v>10</v>
      </c>
      <c r="L240" s="2">
        <v>7129.01</v>
      </c>
    </row>
    <row r="241" spans="1:12" x14ac:dyDescent="0.35">
      <c r="A241" s="2">
        <v>10240</v>
      </c>
      <c r="B241" s="2">
        <v>1376</v>
      </c>
      <c r="C241" s="2" t="s">
        <v>13</v>
      </c>
      <c r="D241" s="2" t="s">
        <v>31</v>
      </c>
      <c r="E241" s="2" t="s">
        <v>14</v>
      </c>
      <c r="F241" s="2" t="s">
        <v>34</v>
      </c>
      <c r="G241" s="2" t="s">
        <v>42</v>
      </c>
      <c r="H241" s="2" t="s">
        <v>36</v>
      </c>
      <c r="I241" s="2">
        <v>9</v>
      </c>
      <c r="J241" s="2">
        <v>265.58</v>
      </c>
      <c r="K241" s="2">
        <v>10</v>
      </c>
      <c r="L241" s="2">
        <v>2151.1999999999998</v>
      </c>
    </row>
    <row r="242" spans="1:12" x14ac:dyDescent="0.35">
      <c r="A242" s="2">
        <v>10241</v>
      </c>
      <c r="B242" s="2">
        <v>1282</v>
      </c>
      <c r="C242" s="2" t="s">
        <v>32</v>
      </c>
      <c r="D242" s="2" t="s">
        <v>33</v>
      </c>
      <c r="E242" s="2" t="s">
        <v>25</v>
      </c>
      <c r="F242" s="2" t="s">
        <v>15</v>
      </c>
      <c r="G242" s="2" t="s">
        <v>16</v>
      </c>
      <c r="H242" s="2" t="s">
        <v>27</v>
      </c>
      <c r="I242" s="2">
        <v>6</v>
      </c>
      <c r="J242" s="2">
        <v>1861.43</v>
      </c>
      <c r="K242" s="2">
        <v>0</v>
      </c>
      <c r="L242" s="2">
        <v>11168.58</v>
      </c>
    </row>
    <row r="243" spans="1:12" x14ac:dyDescent="0.35">
      <c r="A243" s="2">
        <v>10242</v>
      </c>
      <c r="B243" s="2">
        <v>1957</v>
      </c>
      <c r="C243" s="2" t="s">
        <v>12</v>
      </c>
      <c r="D243" s="2" t="s">
        <v>24</v>
      </c>
      <c r="E243" s="2" t="s">
        <v>20</v>
      </c>
      <c r="F243" s="2" t="s">
        <v>35</v>
      </c>
      <c r="G243" s="2" t="s">
        <v>40</v>
      </c>
      <c r="H243" s="2" t="s">
        <v>38</v>
      </c>
      <c r="I243" s="2">
        <v>9</v>
      </c>
      <c r="J243" s="2">
        <v>2092.7800000000002</v>
      </c>
      <c r="K243" s="2">
        <v>20</v>
      </c>
      <c r="L243" s="2">
        <v>15068.02</v>
      </c>
    </row>
    <row r="244" spans="1:12" x14ac:dyDescent="0.35">
      <c r="A244" s="2">
        <v>10243</v>
      </c>
      <c r="B244" s="2">
        <v>1632</v>
      </c>
      <c r="C244" s="2" t="s">
        <v>30</v>
      </c>
      <c r="D244" s="2" t="s">
        <v>19</v>
      </c>
      <c r="E244" s="2" t="s">
        <v>25</v>
      </c>
      <c r="F244" s="2" t="s">
        <v>15</v>
      </c>
      <c r="G244" s="2" t="s">
        <v>42</v>
      </c>
      <c r="H244" s="2" t="s">
        <v>23</v>
      </c>
      <c r="I244" s="2">
        <v>2</v>
      </c>
      <c r="J244" s="2">
        <v>601.53</v>
      </c>
      <c r="K244" s="2">
        <v>20</v>
      </c>
      <c r="L244" s="2">
        <v>962.45</v>
      </c>
    </row>
    <row r="245" spans="1:12" x14ac:dyDescent="0.35">
      <c r="A245" s="2">
        <v>10244</v>
      </c>
      <c r="B245" s="2">
        <v>1627</v>
      </c>
      <c r="C245" s="2" t="s">
        <v>28</v>
      </c>
      <c r="D245" s="2" t="s">
        <v>24</v>
      </c>
      <c r="E245" s="2" t="s">
        <v>14</v>
      </c>
      <c r="F245" s="2" t="s">
        <v>35</v>
      </c>
      <c r="G245" s="2" t="s">
        <v>40</v>
      </c>
      <c r="H245" s="2" t="s">
        <v>36</v>
      </c>
      <c r="I245" s="2">
        <v>3</v>
      </c>
      <c r="J245" s="2">
        <v>800.89</v>
      </c>
      <c r="K245" s="2">
        <v>0</v>
      </c>
      <c r="L245" s="2">
        <v>2402.67</v>
      </c>
    </row>
    <row r="246" spans="1:12" x14ac:dyDescent="0.35">
      <c r="A246" s="2">
        <v>10245</v>
      </c>
      <c r="B246" s="2">
        <v>1972</v>
      </c>
      <c r="C246" s="2" t="s">
        <v>12</v>
      </c>
      <c r="D246" s="2" t="s">
        <v>13</v>
      </c>
      <c r="E246" s="2" t="s">
        <v>25</v>
      </c>
      <c r="F246" s="2" t="s">
        <v>34</v>
      </c>
      <c r="G246" s="2" t="s">
        <v>39</v>
      </c>
      <c r="H246" s="2" t="s">
        <v>38</v>
      </c>
      <c r="I246" s="2">
        <v>8</v>
      </c>
      <c r="J246" s="2">
        <v>1504.45</v>
      </c>
      <c r="K246" s="2">
        <v>20</v>
      </c>
      <c r="L246" s="2">
        <v>9628.48</v>
      </c>
    </row>
    <row r="247" spans="1:12" x14ac:dyDescent="0.35">
      <c r="A247" s="2">
        <v>10246</v>
      </c>
      <c r="B247" s="2">
        <v>1744</v>
      </c>
      <c r="C247" s="2" t="s">
        <v>13</v>
      </c>
      <c r="D247" s="2" t="s">
        <v>24</v>
      </c>
      <c r="E247" s="2" t="s">
        <v>20</v>
      </c>
      <c r="F247" s="2" t="s">
        <v>21</v>
      </c>
      <c r="G247" s="2" t="s">
        <v>40</v>
      </c>
      <c r="H247" s="2" t="s">
        <v>36</v>
      </c>
      <c r="I247" s="2">
        <v>1</v>
      </c>
      <c r="J247" s="2">
        <v>3082.45</v>
      </c>
      <c r="K247" s="2">
        <v>5</v>
      </c>
      <c r="L247" s="2">
        <v>2928.33</v>
      </c>
    </row>
    <row r="248" spans="1:12" x14ac:dyDescent="0.35">
      <c r="A248" s="2">
        <v>10247</v>
      </c>
      <c r="B248" s="2">
        <v>1258</v>
      </c>
      <c r="C248" s="2" t="s">
        <v>12</v>
      </c>
      <c r="D248" s="2" t="s">
        <v>41</v>
      </c>
      <c r="E248" s="2" t="s">
        <v>25</v>
      </c>
      <c r="F248" s="2" t="s">
        <v>29</v>
      </c>
      <c r="G248" s="2" t="s">
        <v>40</v>
      </c>
      <c r="H248" s="2" t="s">
        <v>38</v>
      </c>
      <c r="I248" s="2">
        <v>7</v>
      </c>
      <c r="J248" s="2">
        <v>2102.27</v>
      </c>
      <c r="K248" s="2">
        <v>20</v>
      </c>
      <c r="L248" s="2">
        <v>11772.71</v>
      </c>
    </row>
    <row r="249" spans="1:12" x14ac:dyDescent="0.35">
      <c r="A249" s="2">
        <v>10248</v>
      </c>
      <c r="B249" s="2">
        <v>1358</v>
      </c>
      <c r="C249" s="2" t="s">
        <v>18</v>
      </c>
      <c r="D249" s="2" t="s">
        <v>13</v>
      </c>
      <c r="E249" s="2" t="s">
        <v>25</v>
      </c>
      <c r="F249" s="2" t="s">
        <v>34</v>
      </c>
      <c r="G249" s="2" t="s">
        <v>26</v>
      </c>
      <c r="H249" s="2" t="s">
        <v>17</v>
      </c>
      <c r="I249" s="2">
        <v>7</v>
      </c>
      <c r="J249" s="2">
        <v>2605.92</v>
      </c>
      <c r="K249" s="2">
        <v>20</v>
      </c>
      <c r="L249" s="2">
        <v>14593.15</v>
      </c>
    </row>
    <row r="250" spans="1:12" x14ac:dyDescent="0.35">
      <c r="A250" s="2">
        <v>10249</v>
      </c>
      <c r="B250" s="2">
        <v>1709</v>
      </c>
      <c r="C250" s="2" t="s">
        <v>37</v>
      </c>
      <c r="D250" s="2" t="s">
        <v>33</v>
      </c>
      <c r="E250" s="2" t="s">
        <v>14</v>
      </c>
      <c r="F250" s="2" t="s">
        <v>15</v>
      </c>
      <c r="G250" s="2" t="s">
        <v>26</v>
      </c>
      <c r="H250" s="2" t="s">
        <v>36</v>
      </c>
      <c r="I250" s="2">
        <v>1</v>
      </c>
      <c r="J250" s="2">
        <v>3942.92</v>
      </c>
      <c r="K250" s="2">
        <v>0</v>
      </c>
      <c r="L250" s="2">
        <v>3942.92</v>
      </c>
    </row>
    <row r="251" spans="1:12" x14ac:dyDescent="0.35">
      <c r="A251" s="2">
        <v>10250</v>
      </c>
      <c r="B251" s="2">
        <v>1455</v>
      </c>
      <c r="C251" s="2" t="s">
        <v>28</v>
      </c>
      <c r="D251" s="2" t="s">
        <v>13</v>
      </c>
      <c r="E251" s="2" t="s">
        <v>14</v>
      </c>
      <c r="F251" s="2" t="s">
        <v>29</v>
      </c>
      <c r="G251" s="2" t="s">
        <v>22</v>
      </c>
      <c r="H251" s="2" t="s">
        <v>23</v>
      </c>
      <c r="I251" s="2">
        <v>9</v>
      </c>
      <c r="J251" s="2">
        <v>3106.82</v>
      </c>
      <c r="K251" s="2">
        <v>15</v>
      </c>
      <c r="L251" s="2">
        <v>23767.17</v>
      </c>
    </row>
    <row r="252" spans="1:12" x14ac:dyDescent="0.35">
      <c r="A252" s="2">
        <v>10251</v>
      </c>
      <c r="B252" s="2">
        <v>1410</v>
      </c>
      <c r="C252" s="2" t="s">
        <v>13</v>
      </c>
      <c r="D252" s="2" t="s">
        <v>19</v>
      </c>
      <c r="E252" s="2" t="s">
        <v>14</v>
      </c>
      <c r="F252" s="2" t="s">
        <v>21</v>
      </c>
      <c r="G252" s="2" t="s">
        <v>26</v>
      </c>
      <c r="H252" s="2" t="s">
        <v>23</v>
      </c>
      <c r="I252" s="2">
        <v>8</v>
      </c>
      <c r="J252" s="2">
        <v>1822.29</v>
      </c>
      <c r="K252" s="2">
        <v>20</v>
      </c>
      <c r="L252" s="2">
        <v>11662.66</v>
      </c>
    </row>
    <row r="253" spans="1:12" x14ac:dyDescent="0.35">
      <c r="A253" s="2">
        <v>10252</v>
      </c>
      <c r="B253" s="2">
        <v>1648</v>
      </c>
      <c r="C253" s="2" t="s">
        <v>30</v>
      </c>
      <c r="D253" s="2" t="s">
        <v>31</v>
      </c>
      <c r="E253" s="2" t="s">
        <v>20</v>
      </c>
      <c r="F253" s="2" t="s">
        <v>34</v>
      </c>
      <c r="G253" s="2" t="s">
        <v>40</v>
      </c>
      <c r="H253" s="2" t="s">
        <v>27</v>
      </c>
      <c r="I253" s="2">
        <v>4</v>
      </c>
      <c r="J253" s="2">
        <v>1868.8</v>
      </c>
      <c r="K253" s="2">
        <v>20</v>
      </c>
      <c r="L253" s="2">
        <v>5980.16</v>
      </c>
    </row>
    <row r="254" spans="1:12" x14ac:dyDescent="0.35">
      <c r="A254" s="2">
        <v>10253</v>
      </c>
      <c r="B254" s="2">
        <v>1317</v>
      </c>
      <c r="C254" s="2" t="s">
        <v>32</v>
      </c>
      <c r="D254" s="2" t="s">
        <v>33</v>
      </c>
      <c r="E254" s="2" t="s">
        <v>20</v>
      </c>
      <c r="F254" s="2" t="s">
        <v>29</v>
      </c>
      <c r="G254" s="2" t="s">
        <v>16</v>
      </c>
      <c r="H254" s="2" t="s">
        <v>38</v>
      </c>
      <c r="I254" s="2">
        <v>5</v>
      </c>
      <c r="J254" s="2">
        <v>2532.27</v>
      </c>
      <c r="K254" s="2">
        <v>15</v>
      </c>
      <c r="L254" s="2">
        <v>10762.15</v>
      </c>
    </row>
    <row r="255" spans="1:12" x14ac:dyDescent="0.35">
      <c r="A255" s="2">
        <v>10254</v>
      </c>
      <c r="B255" s="2">
        <v>1676</v>
      </c>
      <c r="C255" s="2" t="s">
        <v>18</v>
      </c>
      <c r="D255" s="2" t="s">
        <v>13</v>
      </c>
      <c r="E255" s="2" t="s">
        <v>14</v>
      </c>
      <c r="F255" s="2" t="s">
        <v>34</v>
      </c>
      <c r="G255" s="2" t="s">
        <v>40</v>
      </c>
      <c r="H255" s="2" t="s">
        <v>36</v>
      </c>
      <c r="I255" s="2">
        <v>2</v>
      </c>
      <c r="J255" s="2">
        <v>2711.66</v>
      </c>
      <c r="K255" s="2">
        <v>0</v>
      </c>
      <c r="L255" s="2">
        <v>5423.32</v>
      </c>
    </row>
    <row r="256" spans="1:12" x14ac:dyDescent="0.35">
      <c r="A256" s="2">
        <v>10255</v>
      </c>
      <c r="B256" s="2">
        <v>1224</v>
      </c>
      <c r="C256" s="2" t="s">
        <v>13</v>
      </c>
      <c r="D256" s="2" t="s">
        <v>33</v>
      </c>
      <c r="E256" s="2" t="s">
        <v>14</v>
      </c>
      <c r="F256" s="2" t="s">
        <v>34</v>
      </c>
      <c r="G256" s="2" t="s">
        <v>16</v>
      </c>
      <c r="H256" s="2" t="s">
        <v>27</v>
      </c>
      <c r="I256" s="2">
        <v>9</v>
      </c>
      <c r="J256" s="2">
        <v>2077.7399999999998</v>
      </c>
      <c r="K256" s="2">
        <v>15</v>
      </c>
      <c r="L256" s="2">
        <v>15894.71</v>
      </c>
    </row>
    <row r="257" spans="1:12" x14ac:dyDescent="0.35">
      <c r="A257" s="2">
        <v>10256</v>
      </c>
      <c r="B257" s="2">
        <v>1818</v>
      </c>
      <c r="C257" s="2" t="s">
        <v>30</v>
      </c>
      <c r="D257" s="2" t="s">
        <v>33</v>
      </c>
      <c r="E257" s="2" t="s">
        <v>20</v>
      </c>
      <c r="F257" s="2" t="s">
        <v>21</v>
      </c>
      <c r="G257" s="2" t="s">
        <v>16</v>
      </c>
      <c r="H257" s="2" t="s">
        <v>36</v>
      </c>
      <c r="I257" s="2">
        <v>6</v>
      </c>
      <c r="J257" s="2">
        <v>2632.72</v>
      </c>
      <c r="K257" s="2">
        <v>0</v>
      </c>
      <c r="L257" s="2">
        <v>15796.32</v>
      </c>
    </row>
    <row r="258" spans="1:12" x14ac:dyDescent="0.35">
      <c r="A258" s="2">
        <v>10257</v>
      </c>
      <c r="B258" s="2">
        <v>1233</v>
      </c>
      <c r="C258" s="2" t="s">
        <v>32</v>
      </c>
      <c r="D258" s="2" t="s">
        <v>33</v>
      </c>
      <c r="E258" s="2" t="s">
        <v>20</v>
      </c>
      <c r="F258" s="2" t="s">
        <v>35</v>
      </c>
      <c r="G258" s="2" t="s">
        <v>26</v>
      </c>
      <c r="H258" s="2" t="s">
        <v>38</v>
      </c>
      <c r="I258" s="2">
        <v>3</v>
      </c>
      <c r="J258" s="2">
        <v>240.6</v>
      </c>
      <c r="K258" s="2">
        <v>5</v>
      </c>
      <c r="L258" s="2">
        <v>685.71</v>
      </c>
    </row>
    <row r="259" spans="1:12" x14ac:dyDescent="0.35">
      <c r="A259" s="2">
        <v>10258</v>
      </c>
      <c r="B259" s="2">
        <v>1683</v>
      </c>
      <c r="C259" s="2" t="s">
        <v>32</v>
      </c>
      <c r="D259" s="2" t="s">
        <v>31</v>
      </c>
      <c r="E259" s="2" t="s">
        <v>20</v>
      </c>
      <c r="F259" s="2" t="s">
        <v>29</v>
      </c>
      <c r="G259" s="2" t="s">
        <v>42</v>
      </c>
      <c r="H259" s="2" t="s">
        <v>23</v>
      </c>
      <c r="I259" s="2">
        <v>7</v>
      </c>
      <c r="J259" s="2">
        <v>1804.05</v>
      </c>
      <c r="K259" s="2">
        <v>0</v>
      </c>
      <c r="L259" s="2">
        <v>12628.35</v>
      </c>
    </row>
    <row r="260" spans="1:12" x14ac:dyDescent="0.35">
      <c r="A260" s="2">
        <v>10259</v>
      </c>
      <c r="B260" s="2">
        <v>1663</v>
      </c>
      <c r="C260" s="2" t="s">
        <v>13</v>
      </c>
      <c r="D260" s="2" t="s">
        <v>24</v>
      </c>
      <c r="E260" s="2" t="s">
        <v>20</v>
      </c>
      <c r="F260" s="2" t="s">
        <v>21</v>
      </c>
      <c r="G260" s="2" t="s">
        <v>39</v>
      </c>
      <c r="H260" s="2" t="s">
        <v>17</v>
      </c>
      <c r="I260" s="2">
        <v>9</v>
      </c>
      <c r="J260" s="2">
        <v>1223.9100000000001</v>
      </c>
      <c r="K260" s="2">
        <v>5</v>
      </c>
      <c r="L260" s="2">
        <v>10464.43</v>
      </c>
    </row>
    <row r="261" spans="1:12" x14ac:dyDescent="0.35">
      <c r="A261" s="2">
        <v>10260</v>
      </c>
      <c r="B261" s="2">
        <v>1974</v>
      </c>
      <c r="C261" s="2" t="s">
        <v>18</v>
      </c>
      <c r="D261" s="2" t="s">
        <v>33</v>
      </c>
      <c r="E261" s="2" t="s">
        <v>14</v>
      </c>
      <c r="F261" s="2" t="s">
        <v>34</v>
      </c>
      <c r="G261" s="2" t="s">
        <v>26</v>
      </c>
      <c r="H261" s="2" t="s">
        <v>23</v>
      </c>
      <c r="I261" s="2">
        <v>3</v>
      </c>
      <c r="J261" s="2">
        <v>647.32000000000005</v>
      </c>
      <c r="K261" s="2">
        <v>5</v>
      </c>
      <c r="L261" s="2">
        <v>1844.86</v>
      </c>
    </row>
    <row r="262" spans="1:12" x14ac:dyDescent="0.35">
      <c r="A262" s="2">
        <v>10261</v>
      </c>
      <c r="B262" s="2">
        <v>1826</v>
      </c>
      <c r="C262" s="2" t="s">
        <v>12</v>
      </c>
      <c r="D262" s="2" t="s">
        <v>41</v>
      </c>
      <c r="E262" s="2" t="s">
        <v>20</v>
      </c>
      <c r="F262" s="2" t="s">
        <v>21</v>
      </c>
      <c r="G262" s="2" t="s">
        <v>26</v>
      </c>
      <c r="H262" s="2" t="s">
        <v>27</v>
      </c>
      <c r="I262" s="2">
        <v>2</v>
      </c>
      <c r="J262" s="2">
        <v>533.25</v>
      </c>
      <c r="K262" s="2">
        <v>0</v>
      </c>
      <c r="L262" s="2">
        <v>1066.5</v>
      </c>
    </row>
    <row r="263" spans="1:12" x14ac:dyDescent="0.35">
      <c r="A263" s="2">
        <v>10262</v>
      </c>
      <c r="B263" s="2">
        <v>1373</v>
      </c>
      <c r="C263" s="2" t="s">
        <v>12</v>
      </c>
      <c r="D263" s="2" t="s">
        <v>19</v>
      </c>
      <c r="E263" s="2" t="s">
        <v>14</v>
      </c>
      <c r="F263" s="2" t="s">
        <v>35</v>
      </c>
      <c r="G263" s="2" t="s">
        <v>42</v>
      </c>
      <c r="H263" s="2" t="s">
        <v>17</v>
      </c>
      <c r="I263" s="2">
        <v>7</v>
      </c>
      <c r="J263" s="2">
        <v>2472.29</v>
      </c>
      <c r="K263" s="2">
        <v>10</v>
      </c>
      <c r="L263" s="2">
        <v>15575.43</v>
      </c>
    </row>
    <row r="264" spans="1:12" x14ac:dyDescent="0.35">
      <c r="A264" s="2">
        <v>10263</v>
      </c>
      <c r="B264" s="2">
        <v>1671</v>
      </c>
      <c r="C264" s="2" t="s">
        <v>32</v>
      </c>
      <c r="D264" s="2" t="s">
        <v>31</v>
      </c>
      <c r="E264" s="2" t="s">
        <v>25</v>
      </c>
      <c r="F264" s="2" t="s">
        <v>29</v>
      </c>
      <c r="G264" s="2" t="s">
        <v>39</v>
      </c>
      <c r="H264" s="2" t="s">
        <v>27</v>
      </c>
      <c r="I264" s="2">
        <v>7</v>
      </c>
      <c r="J264" s="2">
        <v>2165.86</v>
      </c>
      <c r="K264" s="2">
        <v>0</v>
      </c>
      <c r="L264" s="2">
        <v>15161.02</v>
      </c>
    </row>
    <row r="265" spans="1:12" x14ac:dyDescent="0.35">
      <c r="A265" s="2">
        <v>10264</v>
      </c>
      <c r="B265" s="2">
        <v>1607</v>
      </c>
      <c r="C265" s="2" t="s">
        <v>12</v>
      </c>
      <c r="D265" s="2" t="s">
        <v>13</v>
      </c>
      <c r="E265" s="2" t="s">
        <v>25</v>
      </c>
      <c r="F265" s="2" t="s">
        <v>35</v>
      </c>
      <c r="G265" s="2" t="s">
        <v>40</v>
      </c>
      <c r="H265" s="2" t="s">
        <v>38</v>
      </c>
      <c r="I265" s="2">
        <v>4</v>
      </c>
      <c r="J265" s="2">
        <v>1126.3</v>
      </c>
      <c r="K265" s="2">
        <v>20</v>
      </c>
      <c r="L265" s="2">
        <v>3604.16</v>
      </c>
    </row>
    <row r="266" spans="1:12" x14ac:dyDescent="0.35">
      <c r="A266" s="2">
        <v>10265</v>
      </c>
      <c r="B266" s="2">
        <v>1471</v>
      </c>
      <c r="C266" s="2" t="s">
        <v>37</v>
      </c>
      <c r="D266" s="2" t="s">
        <v>31</v>
      </c>
      <c r="E266" s="2" t="s">
        <v>20</v>
      </c>
      <c r="F266" s="2" t="s">
        <v>15</v>
      </c>
      <c r="G266" s="2" t="s">
        <v>22</v>
      </c>
      <c r="H266" s="2" t="s">
        <v>17</v>
      </c>
      <c r="I266" s="2">
        <v>9</v>
      </c>
      <c r="J266" s="2">
        <v>1963.16</v>
      </c>
      <c r="K266" s="2">
        <v>20</v>
      </c>
      <c r="L266" s="2">
        <v>14134.75</v>
      </c>
    </row>
    <row r="267" spans="1:12" x14ac:dyDescent="0.35">
      <c r="A267" s="2">
        <v>10266</v>
      </c>
      <c r="B267" s="2">
        <v>1232</v>
      </c>
      <c r="C267" s="2" t="s">
        <v>32</v>
      </c>
      <c r="D267" s="2" t="s">
        <v>13</v>
      </c>
      <c r="E267" s="2" t="s">
        <v>25</v>
      </c>
      <c r="F267" s="2" t="s">
        <v>29</v>
      </c>
      <c r="G267" s="2" t="s">
        <v>22</v>
      </c>
      <c r="H267" s="2" t="s">
        <v>27</v>
      </c>
      <c r="I267" s="2">
        <v>8</v>
      </c>
      <c r="J267" s="2">
        <v>2045.09</v>
      </c>
      <c r="K267" s="2">
        <v>10</v>
      </c>
      <c r="L267" s="2">
        <v>14724.65</v>
      </c>
    </row>
    <row r="268" spans="1:12" x14ac:dyDescent="0.35">
      <c r="A268" s="2">
        <v>10267</v>
      </c>
      <c r="B268" s="2">
        <v>1691</v>
      </c>
      <c r="C268" s="2" t="s">
        <v>32</v>
      </c>
      <c r="D268" s="2" t="s">
        <v>31</v>
      </c>
      <c r="E268" s="2" t="s">
        <v>25</v>
      </c>
      <c r="F268" s="2" t="s">
        <v>35</v>
      </c>
      <c r="G268" s="2" t="s">
        <v>40</v>
      </c>
      <c r="H268" s="2" t="s">
        <v>38</v>
      </c>
      <c r="I268" s="2">
        <v>1</v>
      </c>
      <c r="J268" s="2">
        <v>900.78</v>
      </c>
      <c r="K268" s="2">
        <v>5</v>
      </c>
      <c r="L268" s="2">
        <v>855.74</v>
      </c>
    </row>
    <row r="269" spans="1:12" x14ac:dyDescent="0.35">
      <c r="A269" s="2">
        <v>10268</v>
      </c>
      <c r="B269" s="2">
        <v>1112</v>
      </c>
      <c r="C269" s="2" t="s">
        <v>30</v>
      </c>
      <c r="D269" s="2" t="s">
        <v>13</v>
      </c>
      <c r="E269" s="2" t="s">
        <v>25</v>
      </c>
      <c r="F269" s="2" t="s">
        <v>34</v>
      </c>
      <c r="G269" s="2" t="s">
        <v>26</v>
      </c>
      <c r="H269" s="2" t="s">
        <v>23</v>
      </c>
      <c r="I269" s="2">
        <v>1</v>
      </c>
      <c r="J269" s="2">
        <v>2660.56</v>
      </c>
      <c r="K269" s="2">
        <v>10</v>
      </c>
      <c r="L269" s="2">
        <v>2394.5</v>
      </c>
    </row>
    <row r="270" spans="1:12" x14ac:dyDescent="0.35">
      <c r="A270" s="2">
        <v>10269</v>
      </c>
      <c r="B270" s="2">
        <v>1829</v>
      </c>
      <c r="C270" s="2" t="s">
        <v>12</v>
      </c>
      <c r="D270" s="2" t="s">
        <v>33</v>
      </c>
      <c r="E270" s="2" t="s">
        <v>20</v>
      </c>
      <c r="F270" s="2" t="s">
        <v>29</v>
      </c>
      <c r="G270" s="2" t="s">
        <v>39</v>
      </c>
      <c r="H270" s="2" t="s">
        <v>38</v>
      </c>
      <c r="I270" s="2">
        <v>5</v>
      </c>
      <c r="J270" s="2">
        <v>3156.54</v>
      </c>
      <c r="K270" s="2">
        <v>20</v>
      </c>
      <c r="L270" s="2">
        <v>12626.16</v>
      </c>
    </row>
    <row r="271" spans="1:12" x14ac:dyDescent="0.35">
      <c r="A271" s="2">
        <v>10270</v>
      </c>
      <c r="B271" s="2">
        <v>1496</v>
      </c>
      <c r="C271" s="2" t="s">
        <v>18</v>
      </c>
      <c r="D271" s="2" t="s">
        <v>24</v>
      </c>
      <c r="E271" s="2" t="s">
        <v>20</v>
      </c>
      <c r="F271" s="2" t="s">
        <v>29</v>
      </c>
      <c r="G271" s="2" t="s">
        <v>26</v>
      </c>
      <c r="H271" s="2" t="s">
        <v>36</v>
      </c>
      <c r="I271" s="2">
        <v>6</v>
      </c>
      <c r="J271" s="2">
        <v>3197.13</v>
      </c>
      <c r="K271" s="2">
        <v>10</v>
      </c>
      <c r="L271" s="2">
        <v>17264.5</v>
      </c>
    </row>
    <row r="272" spans="1:12" x14ac:dyDescent="0.35">
      <c r="A272" s="2">
        <v>10271</v>
      </c>
      <c r="B272" s="2">
        <v>1441</v>
      </c>
      <c r="C272" s="2" t="s">
        <v>32</v>
      </c>
      <c r="D272" s="2" t="s">
        <v>13</v>
      </c>
      <c r="E272" s="2" t="s">
        <v>25</v>
      </c>
      <c r="F272" s="2" t="s">
        <v>21</v>
      </c>
      <c r="G272" s="2" t="s">
        <v>16</v>
      </c>
      <c r="H272" s="2" t="s">
        <v>38</v>
      </c>
      <c r="I272" s="2">
        <v>3</v>
      </c>
      <c r="J272" s="2">
        <v>2469.5100000000002</v>
      </c>
      <c r="K272" s="2">
        <v>0</v>
      </c>
      <c r="L272" s="2">
        <v>7408.53</v>
      </c>
    </row>
    <row r="273" spans="1:12" x14ac:dyDescent="0.35">
      <c r="A273" s="2">
        <v>10272</v>
      </c>
      <c r="B273" s="2">
        <v>1563</v>
      </c>
      <c r="C273" s="2" t="s">
        <v>18</v>
      </c>
      <c r="D273" s="2" t="s">
        <v>13</v>
      </c>
      <c r="E273" s="2" t="s">
        <v>14</v>
      </c>
      <c r="F273" s="2" t="s">
        <v>34</v>
      </c>
      <c r="G273" s="2" t="s">
        <v>26</v>
      </c>
      <c r="H273" s="2" t="s">
        <v>38</v>
      </c>
      <c r="I273" s="2">
        <v>9</v>
      </c>
      <c r="J273" s="2">
        <v>2119.81</v>
      </c>
      <c r="K273" s="2">
        <v>10</v>
      </c>
      <c r="L273" s="2">
        <v>17170.46</v>
      </c>
    </row>
    <row r="274" spans="1:12" x14ac:dyDescent="0.35">
      <c r="A274" s="2">
        <v>10273</v>
      </c>
      <c r="B274" s="2">
        <v>1267</v>
      </c>
      <c r="C274" s="2" t="s">
        <v>37</v>
      </c>
      <c r="D274" s="2" t="s">
        <v>41</v>
      </c>
      <c r="E274" s="2" t="s">
        <v>25</v>
      </c>
      <c r="F274" s="2" t="s">
        <v>15</v>
      </c>
      <c r="G274" s="2" t="s">
        <v>26</v>
      </c>
      <c r="H274" s="2" t="s">
        <v>36</v>
      </c>
      <c r="I274" s="2">
        <v>6</v>
      </c>
      <c r="J274" s="2">
        <v>384.88</v>
      </c>
      <c r="K274" s="2">
        <v>5</v>
      </c>
      <c r="L274" s="2">
        <v>2193.8200000000002</v>
      </c>
    </row>
    <row r="275" spans="1:12" x14ac:dyDescent="0.35">
      <c r="A275" s="2">
        <v>10274</v>
      </c>
      <c r="B275" s="2">
        <v>1509</v>
      </c>
      <c r="C275" s="2" t="s">
        <v>30</v>
      </c>
      <c r="D275" s="2" t="s">
        <v>13</v>
      </c>
      <c r="E275" s="2" t="s">
        <v>20</v>
      </c>
      <c r="F275" s="2" t="s">
        <v>35</v>
      </c>
      <c r="G275" s="2" t="s">
        <v>40</v>
      </c>
      <c r="H275" s="2" t="s">
        <v>27</v>
      </c>
      <c r="I275" s="2">
        <v>4</v>
      </c>
      <c r="J275" s="2">
        <v>1258.1500000000001</v>
      </c>
      <c r="K275" s="2">
        <v>0</v>
      </c>
      <c r="L275" s="2">
        <v>5032.6000000000004</v>
      </c>
    </row>
    <row r="276" spans="1:12" x14ac:dyDescent="0.35">
      <c r="A276" s="2">
        <v>10275</v>
      </c>
      <c r="B276" s="2">
        <v>1806</v>
      </c>
      <c r="C276" s="2" t="s">
        <v>13</v>
      </c>
      <c r="D276" s="2" t="s">
        <v>41</v>
      </c>
      <c r="E276" s="2" t="s">
        <v>20</v>
      </c>
      <c r="F276" s="2" t="s">
        <v>21</v>
      </c>
      <c r="G276" s="2" t="s">
        <v>40</v>
      </c>
      <c r="H276" s="2" t="s">
        <v>27</v>
      </c>
      <c r="I276" s="2">
        <v>7</v>
      </c>
      <c r="J276" s="2">
        <v>509.1</v>
      </c>
      <c r="K276" s="2">
        <v>15</v>
      </c>
      <c r="L276" s="2">
        <v>3029.14</v>
      </c>
    </row>
    <row r="277" spans="1:12" x14ac:dyDescent="0.35">
      <c r="A277" s="2">
        <v>10276</v>
      </c>
      <c r="B277" s="2">
        <v>1385</v>
      </c>
      <c r="C277" s="2" t="s">
        <v>18</v>
      </c>
      <c r="D277" s="2" t="s">
        <v>19</v>
      </c>
      <c r="E277" s="2" t="s">
        <v>20</v>
      </c>
      <c r="F277" s="2" t="s">
        <v>35</v>
      </c>
      <c r="G277" s="2" t="s">
        <v>40</v>
      </c>
      <c r="H277" s="2" t="s">
        <v>38</v>
      </c>
      <c r="I277" s="2">
        <v>8</v>
      </c>
      <c r="J277" s="2">
        <v>3860.72</v>
      </c>
      <c r="K277" s="2">
        <v>20</v>
      </c>
      <c r="L277" s="2">
        <v>24708.61</v>
      </c>
    </row>
    <row r="278" spans="1:12" x14ac:dyDescent="0.35">
      <c r="A278" s="2">
        <v>10277</v>
      </c>
      <c r="B278" s="2">
        <v>1386</v>
      </c>
      <c r="C278" s="2" t="s">
        <v>32</v>
      </c>
      <c r="D278" s="2" t="s">
        <v>33</v>
      </c>
      <c r="E278" s="2" t="s">
        <v>25</v>
      </c>
      <c r="F278" s="2" t="s">
        <v>15</v>
      </c>
      <c r="G278" s="2" t="s">
        <v>22</v>
      </c>
      <c r="H278" s="2" t="s">
        <v>36</v>
      </c>
      <c r="I278" s="2">
        <v>9</v>
      </c>
      <c r="J278" s="2">
        <v>670.06</v>
      </c>
      <c r="K278" s="2">
        <v>20</v>
      </c>
      <c r="L278" s="2">
        <v>4824.43</v>
      </c>
    </row>
    <row r="279" spans="1:12" x14ac:dyDescent="0.35">
      <c r="A279" s="2">
        <v>10278</v>
      </c>
      <c r="B279" s="2">
        <v>1112</v>
      </c>
      <c r="C279" s="2" t="s">
        <v>37</v>
      </c>
      <c r="D279" s="2" t="s">
        <v>41</v>
      </c>
      <c r="E279" s="2" t="s">
        <v>14</v>
      </c>
      <c r="F279" s="2" t="s">
        <v>15</v>
      </c>
      <c r="G279" s="2" t="s">
        <v>16</v>
      </c>
      <c r="H279" s="2" t="s">
        <v>36</v>
      </c>
      <c r="I279" s="2">
        <v>6</v>
      </c>
      <c r="J279" s="2">
        <v>734.34</v>
      </c>
      <c r="K279" s="2">
        <v>10</v>
      </c>
      <c r="L279" s="2">
        <v>3965.44</v>
      </c>
    </row>
    <row r="280" spans="1:12" x14ac:dyDescent="0.35">
      <c r="A280" s="2">
        <v>10279</v>
      </c>
      <c r="B280" s="2">
        <v>1612</v>
      </c>
      <c r="C280" s="2" t="s">
        <v>28</v>
      </c>
      <c r="D280" s="2" t="s">
        <v>24</v>
      </c>
      <c r="E280" s="2" t="s">
        <v>20</v>
      </c>
      <c r="F280" s="2" t="s">
        <v>29</v>
      </c>
      <c r="G280" s="2" t="s">
        <v>40</v>
      </c>
      <c r="H280" s="2" t="s">
        <v>23</v>
      </c>
      <c r="I280" s="2">
        <v>6</v>
      </c>
      <c r="J280" s="2">
        <v>3574.87</v>
      </c>
      <c r="K280" s="2">
        <v>0</v>
      </c>
      <c r="L280" s="2">
        <v>21449.22</v>
      </c>
    </row>
    <row r="281" spans="1:12" x14ac:dyDescent="0.35">
      <c r="A281" s="2">
        <v>10280</v>
      </c>
      <c r="B281" s="2">
        <v>1624</v>
      </c>
      <c r="C281" s="2" t="s">
        <v>37</v>
      </c>
      <c r="D281" s="2" t="s">
        <v>33</v>
      </c>
      <c r="E281" s="2" t="s">
        <v>20</v>
      </c>
      <c r="F281" s="2" t="s">
        <v>15</v>
      </c>
      <c r="G281" s="2" t="s">
        <v>39</v>
      </c>
      <c r="H281" s="2" t="s">
        <v>27</v>
      </c>
      <c r="I281" s="2">
        <v>8</v>
      </c>
      <c r="J281" s="2">
        <v>3784.12</v>
      </c>
      <c r="K281" s="2">
        <v>15</v>
      </c>
      <c r="L281" s="2">
        <v>25732.02</v>
      </c>
    </row>
    <row r="282" spans="1:12" x14ac:dyDescent="0.35">
      <c r="A282" s="2">
        <v>10281</v>
      </c>
      <c r="B282" s="2">
        <v>1951</v>
      </c>
      <c r="C282" s="2" t="s">
        <v>37</v>
      </c>
      <c r="D282" s="2" t="s">
        <v>41</v>
      </c>
      <c r="E282" s="2" t="s">
        <v>25</v>
      </c>
      <c r="F282" s="2" t="s">
        <v>35</v>
      </c>
      <c r="G282" s="2" t="s">
        <v>22</v>
      </c>
      <c r="H282" s="2" t="s">
        <v>17</v>
      </c>
      <c r="I282" s="2">
        <v>5</v>
      </c>
      <c r="J282" s="2">
        <v>3098.44</v>
      </c>
      <c r="K282" s="2">
        <v>0</v>
      </c>
      <c r="L282" s="2">
        <v>15492.2</v>
      </c>
    </row>
    <row r="283" spans="1:12" x14ac:dyDescent="0.35">
      <c r="A283" s="2">
        <v>10282</v>
      </c>
      <c r="B283" s="2">
        <v>1080</v>
      </c>
      <c r="C283" s="2" t="s">
        <v>30</v>
      </c>
      <c r="D283" s="2" t="s">
        <v>33</v>
      </c>
      <c r="E283" s="2" t="s">
        <v>14</v>
      </c>
      <c r="F283" s="2" t="s">
        <v>34</v>
      </c>
      <c r="G283" s="2" t="s">
        <v>42</v>
      </c>
      <c r="H283" s="2" t="s">
        <v>27</v>
      </c>
      <c r="I283" s="2">
        <v>3</v>
      </c>
      <c r="J283" s="2">
        <v>170.81</v>
      </c>
      <c r="K283" s="2">
        <v>20</v>
      </c>
      <c r="L283" s="2">
        <v>409.94</v>
      </c>
    </row>
    <row r="284" spans="1:12" x14ac:dyDescent="0.35">
      <c r="A284" s="2">
        <v>10283</v>
      </c>
      <c r="B284" s="2">
        <v>1698</v>
      </c>
      <c r="C284" s="2" t="s">
        <v>13</v>
      </c>
      <c r="D284" s="2" t="s">
        <v>33</v>
      </c>
      <c r="E284" s="2" t="s">
        <v>25</v>
      </c>
      <c r="F284" s="2" t="s">
        <v>34</v>
      </c>
      <c r="G284" s="2" t="s">
        <v>39</v>
      </c>
      <c r="H284" s="2" t="s">
        <v>27</v>
      </c>
      <c r="I284" s="2">
        <v>3</v>
      </c>
      <c r="J284" s="2">
        <v>155.18</v>
      </c>
      <c r="K284" s="2">
        <v>0</v>
      </c>
      <c r="L284" s="2">
        <v>465.54</v>
      </c>
    </row>
    <row r="285" spans="1:12" x14ac:dyDescent="0.35">
      <c r="A285" s="2">
        <v>10284</v>
      </c>
      <c r="B285" s="2">
        <v>1112</v>
      </c>
      <c r="C285" s="2" t="s">
        <v>28</v>
      </c>
      <c r="D285" s="2" t="s">
        <v>33</v>
      </c>
      <c r="E285" s="2" t="s">
        <v>20</v>
      </c>
      <c r="F285" s="2" t="s">
        <v>29</v>
      </c>
      <c r="G285" s="2" t="s">
        <v>39</v>
      </c>
      <c r="H285" s="2" t="s">
        <v>23</v>
      </c>
      <c r="I285" s="2">
        <v>6</v>
      </c>
      <c r="J285" s="2">
        <v>1605.69</v>
      </c>
      <c r="K285" s="2">
        <v>15</v>
      </c>
      <c r="L285" s="2">
        <v>8189.02</v>
      </c>
    </row>
    <row r="286" spans="1:12" x14ac:dyDescent="0.35">
      <c r="A286" s="2">
        <v>10285</v>
      </c>
      <c r="B286" s="2">
        <v>1001</v>
      </c>
      <c r="C286" s="2" t="s">
        <v>12</v>
      </c>
      <c r="D286" s="2" t="s">
        <v>19</v>
      </c>
      <c r="E286" s="2" t="s">
        <v>14</v>
      </c>
      <c r="F286" s="2" t="s">
        <v>35</v>
      </c>
      <c r="G286" s="2" t="s">
        <v>40</v>
      </c>
      <c r="H286" s="2" t="s">
        <v>17</v>
      </c>
      <c r="I286" s="2">
        <v>2</v>
      </c>
      <c r="J286" s="2">
        <v>702.07</v>
      </c>
      <c r="K286" s="2">
        <v>10</v>
      </c>
      <c r="L286" s="2">
        <v>1263.73</v>
      </c>
    </row>
    <row r="287" spans="1:12" x14ac:dyDescent="0.35">
      <c r="A287" s="2">
        <v>10286</v>
      </c>
      <c r="B287" s="2">
        <v>1641</v>
      </c>
      <c r="C287" s="2" t="s">
        <v>12</v>
      </c>
      <c r="D287" s="2" t="s">
        <v>24</v>
      </c>
      <c r="E287" s="2" t="s">
        <v>14</v>
      </c>
      <c r="F287" s="2" t="s">
        <v>35</v>
      </c>
      <c r="G287" s="2" t="s">
        <v>42</v>
      </c>
      <c r="H287" s="2" t="s">
        <v>23</v>
      </c>
      <c r="I287" s="2">
        <v>6</v>
      </c>
      <c r="J287" s="2">
        <v>220.79</v>
      </c>
      <c r="K287" s="2">
        <v>5</v>
      </c>
      <c r="L287" s="2">
        <v>1258.5</v>
      </c>
    </row>
    <row r="288" spans="1:12" x14ac:dyDescent="0.35">
      <c r="A288" s="2">
        <v>10287</v>
      </c>
      <c r="B288" s="2">
        <v>1219</v>
      </c>
      <c r="C288" s="2" t="s">
        <v>18</v>
      </c>
      <c r="D288" s="2" t="s">
        <v>31</v>
      </c>
      <c r="E288" s="2" t="s">
        <v>20</v>
      </c>
      <c r="F288" s="2" t="s">
        <v>15</v>
      </c>
      <c r="G288" s="2" t="s">
        <v>42</v>
      </c>
      <c r="H288" s="2" t="s">
        <v>17</v>
      </c>
      <c r="I288" s="2">
        <v>6</v>
      </c>
      <c r="J288" s="2">
        <v>1936.66</v>
      </c>
      <c r="K288" s="2">
        <v>0</v>
      </c>
      <c r="L288" s="2">
        <v>11619.96</v>
      </c>
    </row>
    <row r="289" spans="1:12" x14ac:dyDescent="0.35">
      <c r="A289" s="2">
        <v>10288</v>
      </c>
      <c r="B289" s="2">
        <v>1565</v>
      </c>
      <c r="C289" s="2" t="s">
        <v>37</v>
      </c>
      <c r="D289" s="2" t="s">
        <v>31</v>
      </c>
      <c r="E289" s="2" t="s">
        <v>14</v>
      </c>
      <c r="F289" s="2" t="s">
        <v>35</v>
      </c>
      <c r="G289" s="2" t="s">
        <v>22</v>
      </c>
      <c r="H289" s="2" t="s">
        <v>38</v>
      </c>
      <c r="I289" s="2">
        <v>8</v>
      </c>
      <c r="J289" s="2">
        <v>3780.79</v>
      </c>
      <c r="K289" s="2">
        <v>5</v>
      </c>
      <c r="L289" s="2">
        <v>28734</v>
      </c>
    </row>
    <row r="290" spans="1:12" x14ac:dyDescent="0.35">
      <c r="A290" s="2">
        <v>10289</v>
      </c>
      <c r="B290" s="2">
        <v>1854</v>
      </c>
      <c r="C290" s="2" t="s">
        <v>30</v>
      </c>
      <c r="D290" s="2" t="s">
        <v>41</v>
      </c>
      <c r="E290" s="2" t="s">
        <v>14</v>
      </c>
      <c r="F290" s="2" t="s">
        <v>21</v>
      </c>
      <c r="G290" s="2" t="s">
        <v>42</v>
      </c>
      <c r="H290" s="2" t="s">
        <v>17</v>
      </c>
      <c r="I290" s="2">
        <v>7</v>
      </c>
      <c r="J290" s="2">
        <v>1396.71</v>
      </c>
      <c r="K290" s="2">
        <v>20</v>
      </c>
      <c r="L290" s="2">
        <v>7821.58</v>
      </c>
    </row>
    <row r="291" spans="1:12" x14ac:dyDescent="0.35">
      <c r="A291" s="2">
        <v>10290</v>
      </c>
      <c r="B291" s="2">
        <v>1996</v>
      </c>
      <c r="C291" s="2" t="s">
        <v>30</v>
      </c>
      <c r="D291" s="2" t="s">
        <v>33</v>
      </c>
      <c r="E291" s="2" t="s">
        <v>25</v>
      </c>
      <c r="F291" s="2" t="s">
        <v>15</v>
      </c>
      <c r="G291" s="2" t="s">
        <v>16</v>
      </c>
      <c r="H291" s="2" t="s">
        <v>23</v>
      </c>
      <c r="I291" s="2">
        <v>8</v>
      </c>
      <c r="J291" s="2">
        <v>2695.39</v>
      </c>
      <c r="K291" s="2">
        <v>10</v>
      </c>
      <c r="L291" s="2">
        <v>19406.810000000001</v>
      </c>
    </row>
    <row r="292" spans="1:12" x14ac:dyDescent="0.35">
      <c r="A292" s="2">
        <v>10291</v>
      </c>
      <c r="B292" s="2">
        <v>1735</v>
      </c>
      <c r="C292" s="2" t="s">
        <v>12</v>
      </c>
      <c r="D292" s="2" t="s">
        <v>41</v>
      </c>
      <c r="E292" s="2" t="s">
        <v>20</v>
      </c>
      <c r="F292" s="2" t="s">
        <v>21</v>
      </c>
      <c r="G292" s="2" t="s">
        <v>40</v>
      </c>
      <c r="H292" s="2" t="s">
        <v>27</v>
      </c>
      <c r="I292" s="2">
        <v>9</v>
      </c>
      <c r="J292" s="2">
        <v>2661.11</v>
      </c>
      <c r="K292" s="2">
        <v>10</v>
      </c>
      <c r="L292" s="2">
        <v>21554.99</v>
      </c>
    </row>
    <row r="293" spans="1:12" x14ac:dyDescent="0.35">
      <c r="A293" s="2">
        <v>10292</v>
      </c>
      <c r="B293" s="2">
        <v>1224</v>
      </c>
      <c r="C293" s="2" t="s">
        <v>18</v>
      </c>
      <c r="D293" s="2" t="s">
        <v>19</v>
      </c>
      <c r="E293" s="2" t="s">
        <v>20</v>
      </c>
      <c r="F293" s="2" t="s">
        <v>29</v>
      </c>
      <c r="G293" s="2" t="s">
        <v>42</v>
      </c>
      <c r="H293" s="2" t="s">
        <v>17</v>
      </c>
      <c r="I293" s="2">
        <v>6</v>
      </c>
      <c r="J293" s="2">
        <v>1116.6600000000001</v>
      </c>
      <c r="K293" s="2">
        <v>0</v>
      </c>
      <c r="L293" s="2">
        <v>6699.96</v>
      </c>
    </row>
    <row r="294" spans="1:12" x14ac:dyDescent="0.35">
      <c r="A294" s="2">
        <v>10293</v>
      </c>
      <c r="B294" s="2">
        <v>1384</v>
      </c>
      <c r="C294" s="2" t="s">
        <v>18</v>
      </c>
      <c r="D294" s="2" t="s">
        <v>19</v>
      </c>
      <c r="E294" s="2" t="s">
        <v>20</v>
      </c>
      <c r="F294" s="2" t="s">
        <v>34</v>
      </c>
      <c r="G294" s="2" t="s">
        <v>22</v>
      </c>
      <c r="H294" s="2" t="s">
        <v>17</v>
      </c>
      <c r="I294" s="2">
        <v>3</v>
      </c>
      <c r="J294" s="2">
        <v>2654.14</v>
      </c>
      <c r="K294" s="2">
        <v>10</v>
      </c>
      <c r="L294" s="2">
        <v>7166.18</v>
      </c>
    </row>
    <row r="295" spans="1:12" x14ac:dyDescent="0.35">
      <c r="A295" s="2">
        <v>10294</v>
      </c>
      <c r="B295" s="2">
        <v>1402</v>
      </c>
      <c r="C295" s="2" t="s">
        <v>18</v>
      </c>
      <c r="D295" s="2" t="s">
        <v>13</v>
      </c>
      <c r="E295" s="2" t="s">
        <v>20</v>
      </c>
      <c r="F295" s="2" t="s">
        <v>29</v>
      </c>
      <c r="G295" s="2" t="s">
        <v>16</v>
      </c>
      <c r="H295" s="2" t="s">
        <v>36</v>
      </c>
      <c r="I295" s="2">
        <v>3</v>
      </c>
      <c r="J295" s="2">
        <v>967.49</v>
      </c>
      <c r="K295" s="2">
        <v>0</v>
      </c>
      <c r="L295" s="2">
        <v>2902.47</v>
      </c>
    </row>
    <row r="296" spans="1:12" x14ac:dyDescent="0.35">
      <c r="A296" s="2">
        <v>10295</v>
      </c>
      <c r="B296" s="2">
        <v>1637</v>
      </c>
      <c r="C296" s="2" t="s">
        <v>28</v>
      </c>
      <c r="D296" s="2" t="s">
        <v>19</v>
      </c>
      <c r="E296" s="2" t="s">
        <v>20</v>
      </c>
      <c r="F296" s="2" t="s">
        <v>34</v>
      </c>
      <c r="G296" s="2" t="s">
        <v>26</v>
      </c>
      <c r="H296" s="2" t="s">
        <v>27</v>
      </c>
      <c r="I296" s="2">
        <v>1</v>
      </c>
      <c r="J296" s="2">
        <v>619.73</v>
      </c>
      <c r="K296" s="2">
        <v>0</v>
      </c>
      <c r="L296" s="2">
        <v>619.73</v>
      </c>
    </row>
    <row r="297" spans="1:12" x14ac:dyDescent="0.35">
      <c r="A297" s="2">
        <v>10296</v>
      </c>
      <c r="B297" s="2">
        <v>1129</v>
      </c>
      <c r="C297" s="2" t="s">
        <v>13</v>
      </c>
      <c r="D297" s="2" t="s">
        <v>13</v>
      </c>
      <c r="E297" s="2" t="s">
        <v>14</v>
      </c>
      <c r="F297" s="2" t="s">
        <v>29</v>
      </c>
      <c r="G297" s="2" t="s">
        <v>26</v>
      </c>
      <c r="H297" s="2" t="s">
        <v>38</v>
      </c>
      <c r="I297" s="2">
        <v>5</v>
      </c>
      <c r="J297" s="2">
        <v>2850.33</v>
      </c>
      <c r="K297" s="2">
        <v>5</v>
      </c>
      <c r="L297" s="2">
        <v>13539.07</v>
      </c>
    </row>
    <row r="298" spans="1:12" x14ac:dyDescent="0.35">
      <c r="A298" s="2">
        <v>10297</v>
      </c>
      <c r="B298" s="2">
        <v>1052</v>
      </c>
      <c r="C298" s="2" t="s">
        <v>28</v>
      </c>
      <c r="D298" s="2" t="s">
        <v>24</v>
      </c>
      <c r="E298" s="2" t="s">
        <v>25</v>
      </c>
      <c r="F298" s="2" t="s">
        <v>35</v>
      </c>
      <c r="G298" s="2" t="s">
        <v>16</v>
      </c>
      <c r="H298" s="2" t="s">
        <v>23</v>
      </c>
      <c r="I298" s="2">
        <v>4</v>
      </c>
      <c r="J298" s="2">
        <v>586.75</v>
      </c>
      <c r="K298" s="2">
        <v>10</v>
      </c>
      <c r="L298" s="2">
        <v>2112.3000000000002</v>
      </c>
    </row>
    <row r="299" spans="1:12" x14ac:dyDescent="0.35">
      <c r="A299" s="2">
        <v>10298</v>
      </c>
      <c r="B299" s="2">
        <v>1683</v>
      </c>
      <c r="C299" s="2" t="s">
        <v>32</v>
      </c>
      <c r="D299" s="2" t="s">
        <v>41</v>
      </c>
      <c r="E299" s="2" t="s">
        <v>20</v>
      </c>
      <c r="F299" s="2" t="s">
        <v>21</v>
      </c>
      <c r="G299" s="2" t="s">
        <v>22</v>
      </c>
      <c r="H299" s="2" t="s">
        <v>38</v>
      </c>
      <c r="I299" s="2">
        <v>9</v>
      </c>
      <c r="J299" s="2">
        <v>3988.1</v>
      </c>
      <c r="K299" s="2">
        <v>0</v>
      </c>
      <c r="L299" s="2">
        <v>35892.9</v>
      </c>
    </row>
    <row r="300" spans="1:12" x14ac:dyDescent="0.35">
      <c r="A300" s="2">
        <v>10299</v>
      </c>
      <c r="B300" s="2">
        <v>1729</v>
      </c>
      <c r="C300" s="2" t="s">
        <v>32</v>
      </c>
      <c r="D300" s="2" t="s">
        <v>24</v>
      </c>
      <c r="E300" s="2" t="s">
        <v>25</v>
      </c>
      <c r="F300" s="2" t="s">
        <v>34</v>
      </c>
      <c r="G300" s="2" t="s">
        <v>16</v>
      </c>
      <c r="H300" s="2" t="s">
        <v>27</v>
      </c>
      <c r="I300" s="2">
        <v>9</v>
      </c>
      <c r="J300" s="2">
        <v>856.29</v>
      </c>
      <c r="K300" s="2">
        <v>5</v>
      </c>
      <c r="L300" s="2">
        <v>7321.28</v>
      </c>
    </row>
    <row r="301" spans="1:12" x14ac:dyDescent="0.35">
      <c r="A301" s="2">
        <v>10300</v>
      </c>
      <c r="B301" s="2">
        <v>1671</v>
      </c>
      <c r="C301" s="2" t="s">
        <v>13</v>
      </c>
      <c r="D301" s="2" t="s">
        <v>19</v>
      </c>
      <c r="E301" s="2" t="s">
        <v>25</v>
      </c>
      <c r="F301" s="2" t="s">
        <v>15</v>
      </c>
      <c r="G301" s="2" t="s">
        <v>40</v>
      </c>
      <c r="H301" s="2" t="s">
        <v>17</v>
      </c>
      <c r="I301" s="2">
        <v>5</v>
      </c>
      <c r="J301" s="2">
        <v>2437.4499999999998</v>
      </c>
      <c r="K301" s="2">
        <v>15</v>
      </c>
      <c r="L301" s="2">
        <v>10359.16</v>
      </c>
    </row>
    <row r="302" spans="1:12" x14ac:dyDescent="0.35">
      <c r="A302" s="2">
        <v>10301</v>
      </c>
      <c r="B302" s="2">
        <v>1709</v>
      </c>
      <c r="C302" s="2" t="s">
        <v>12</v>
      </c>
      <c r="D302" s="2" t="s">
        <v>24</v>
      </c>
      <c r="E302" s="2" t="s">
        <v>14</v>
      </c>
      <c r="F302" s="2" t="s">
        <v>21</v>
      </c>
      <c r="G302" s="2" t="s">
        <v>40</v>
      </c>
      <c r="H302" s="2" t="s">
        <v>17</v>
      </c>
      <c r="I302" s="2">
        <v>4</v>
      </c>
      <c r="J302" s="2">
        <v>1733.79</v>
      </c>
      <c r="K302" s="2">
        <v>5</v>
      </c>
      <c r="L302" s="2">
        <v>6588.4</v>
      </c>
    </row>
    <row r="303" spans="1:12" x14ac:dyDescent="0.35">
      <c r="A303" s="2">
        <v>10302</v>
      </c>
      <c r="B303" s="2">
        <v>1415</v>
      </c>
      <c r="C303" s="2" t="s">
        <v>13</v>
      </c>
      <c r="D303" s="2" t="s">
        <v>24</v>
      </c>
      <c r="E303" s="2" t="s">
        <v>20</v>
      </c>
      <c r="F303" s="2" t="s">
        <v>15</v>
      </c>
      <c r="G303" s="2" t="s">
        <v>26</v>
      </c>
      <c r="H303" s="2" t="s">
        <v>27</v>
      </c>
      <c r="I303" s="2">
        <v>7</v>
      </c>
      <c r="J303" s="2">
        <v>636.59</v>
      </c>
      <c r="K303" s="2">
        <v>5</v>
      </c>
      <c r="L303" s="2">
        <v>4233.32</v>
      </c>
    </row>
    <row r="304" spans="1:12" x14ac:dyDescent="0.35">
      <c r="A304" s="2">
        <v>10303</v>
      </c>
      <c r="B304" s="2">
        <v>1246</v>
      </c>
      <c r="C304" s="2" t="s">
        <v>30</v>
      </c>
      <c r="D304" s="2" t="s">
        <v>24</v>
      </c>
      <c r="E304" s="2" t="s">
        <v>14</v>
      </c>
      <c r="F304" s="2" t="s">
        <v>21</v>
      </c>
      <c r="G304" s="2" t="s">
        <v>42</v>
      </c>
      <c r="H304" s="2" t="s">
        <v>17</v>
      </c>
      <c r="I304" s="2">
        <v>6</v>
      </c>
      <c r="J304" s="2">
        <v>257.2</v>
      </c>
      <c r="K304" s="2">
        <v>0</v>
      </c>
      <c r="L304" s="2">
        <v>1543.2</v>
      </c>
    </row>
    <row r="305" spans="1:12" x14ac:dyDescent="0.35">
      <c r="A305" s="2">
        <v>10304</v>
      </c>
      <c r="B305" s="2">
        <v>1835</v>
      </c>
      <c r="C305" s="2" t="s">
        <v>32</v>
      </c>
      <c r="D305" s="2" t="s">
        <v>19</v>
      </c>
      <c r="E305" s="2" t="s">
        <v>20</v>
      </c>
      <c r="F305" s="2" t="s">
        <v>21</v>
      </c>
      <c r="G305" s="2" t="s">
        <v>22</v>
      </c>
      <c r="H305" s="2" t="s">
        <v>17</v>
      </c>
      <c r="I305" s="2">
        <v>4</v>
      </c>
      <c r="J305" s="2">
        <v>2547.52</v>
      </c>
      <c r="K305" s="2">
        <v>20</v>
      </c>
      <c r="L305" s="2">
        <v>8152.06</v>
      </c>
    </row>
    <row r="306" spans="1:12" x14ac:dyDescent="0.35">
      <c r="A306" s="2">
        <v>10305</v>
      </c>
      <c r="B306" s="2">
        <v>1438</v>
      </c>
      <c r="C306" s="2" t="s">
        <v>37</v>
      </c>
      <c r="D306" s="2" t="s">
        <v>33</v>
      </c>
      <c r="E306" s="2" t="s">
        <v>14</v>
      </c>
      <c r="F306" s="2" t="s">
        <v>29</v>
      </c>
      <c r="G306" s="2" t="s">
        <v>26</v>
      </c>
      <c r="H306" s="2" t="s">
        <v>17</v>
      </c>
      <c r="I306" s="2">
        <v>2</v>
      </c>
      <c r="J306" s="2">
        <v>3256.02</v>
      </c>
      <c r="K306" s="2">
        <v>20</v>
      </c>
      <c r="L306" s="2">
        <v>5209.63</v>
      </c>
    </row>
    <row r="307" spans="1:12" x14ac:dyDescent="0.35">
      <c r="A307" s="2">
        <v>10306</v>
      </c>
      <c r="B307" s="2">
        <v>1202</v>
      </c>
      <c r="C307" s="2" t="s">
        <v>37</v>
      </c>
      <c r="D307" s="2" t="s">
        <v>24</v>
      </c>
      <c r="E307" s="2" t="s">
        <v>25</v>
      </c>
      <c r="F307" s="2" t="s">
        <v>34</v>
      </c>
      <c r="G307" s="2" t="s">
        <v>42</v>
      </c>
      <c r="H307" s="2" t="s">
        <v>23</v>
      </c>
      <c r="I307" s="2">
        <v>1</v>
      </c>
      <c r="J307" s="2">
        <v>3391.76</v>
      </c>
      <c r="K307" s="2">
        <v>20</v>
      </c>
      <c r="L307" s="2">
        <v>2713.41</v>
      </c>
    </row>
    <row r="308" spans="1:12" x14ac:dyDescent="0.35">
      <c r="A308" s="2">
        <v>10307</v>
      </c>
      <c r="B308" s="2">
        <v>1183</v>
      </c>
      <c r="C308" s="2" t="s">
        <v>12</v>
      </c>
      <c r="D308" s="2" t="s">
        <v>13</v>
      </c>
      <c r="E308" s="2" t="s">
        <v>20</v>
      </c>
      <c r="F308" s="2" t="s">
        <v>34</v>
      </c>
      <c r="G308" s="2" t="s">
        <v>42</v>
      </c>
      <c r="H308" s="2" t="s">
        <v>23</v>
      </c>
      <c r="I308" s="2">
        <v>4</v>
      </c>
      <c r="J308" s="2">
        <v>2008.45</v>
      </c>
      <c r="K308" s="2">
        <v>5</v>
      </c>
      <c r="L308" s="2">
        <v>7632.11</v>
      </c>
    </row>
    <row r="309" spans="1:12" x14ac:dyDescent="0.35">
      <c r="A309" s="2">
        <v>10308</v>
      </c>
      <c r="B309" s="2">
        <v>1122</v>
      </c>
      <c r="C309" s="2" t="s">
        <v>30</v>
      </c>
      <c r="D309" s="2" t="s">
        <v>19</v>
      </c>
      <c r="E309" s="2" t="s">
        <v>25</v>
      </c>
      <c r="F309" s="2" t="s">
        <v>21</v>
      </c>
      <c r="G309" s="2" t="s">
        <v>40</v>
      </c>
      <c r="H309" s="2" t="s">
        <v>36</v>
      </c>
      <c r="I309" s="2">
        <v>4</v>
      </c>
      <c r="J309" s="2">
        <v>3143.2</v>
      </c>
      <c r="K309" s="2">
        <v>0</v>
      </c>
      <c r="L309" s="2">
        <v>12572.8</v>
      </c>
    </row>
    <row r="310" spans="1:12" x14ac:dyDescent="0.35">
      <c r="A310" s="2">
        <v>10309</v>
      </c>
      <c r="B310" s="2">
        <v>1400</v>
      </c>
      <c r="C310" s="2" t="s">
        <v>28</v>
      </c>
      <c r="D310" s="2" t="s">
        <v>24</v>
      </c>
      <c r="E310" s="2" t="s">
        <v>25</v>
      </c>
      <c r="F310" s="2" t="s">
        <v>35</v>
      </c>
      <c r="G310" s="2" t="s">
        <v>39</v>
      </c>
      <c r="H310" s="2" t="s">
        <v>38</v>
      </c>
      <c r="I310" s="2">
        <v>1</v>
      </c>
      <c r="J310" s="2">
        <v>2740.46</v>
      </c>
      <c r="K310" s="2">
        <v>10</v>
      </c>
      <c r="L310" s="2">
        <v>2466.41</v>
      </c>
    </row>
    <row r="311" spans="1:12" x14ac:dyDescent="0.35">
      <c r="A311" s="2">
        <v>10310</v>
      </c>
      <c r="B311" s="2">
        <v>1766</v>
      </c>
      <c r="C311" s="2" t="s">
        <v>30</v>
      </c>
      <c r="D311" s="2" t="s">
        <v>33</v>
      </c>
      <c r="E311" s="2" t="s">
        <v>14</v>
      </c>
      <c r="F311" s="2" t="s">
        <v>35</v>
      </c>
      <c r="G311" s="2" t="s">
        <v>39</v>
      </c>
      <c r="H311" s="2" t="s">
        <v>27</v>
      </c>
      <c r="I311" s="2">
        <v>6</v>
      </c>
      <c r="J311" s="2">
        <v>2938.38</v>
      </c>
      <c r="K311" s="2">
        <v>5</v>
      </c>
      <c r="L311" s="2">
        <v>16748.77</v>
      </c>
    </row>
    <row r="312" spans="1:12" x14ac:dyDescent="0.35">
      <c r="A312" s="2">
        <v>10311</v>
      </c>
      <c r="B312" s="2">
        <v>1293</v>
      </c>
      <c r="C312" s="2" t="s">
        <v>37</v>
      </c>
      <c r="D312" s="2" t="s">
        <v>19</v>
      </c>
      <c r="E312" s="2" t="s">
        <v>20</v>
      </c>
      <c r="F312" s="2" t="s">
        <v>15</v>
      </c>
      <c r="G312" s="2" t="s">
        <v>16</v>
      </c>
      <c r="H312" s="2" t="s">
        <v>27</v>
      </c>
      <c r="I312" s="2">
        <v>4</v>
      </c>
      <c r="J312" s="2">
        <v>2046.51</v>
      </c>
      <c r="K312" s="2">
        <v>5</v>
      </c>
      <c r="L312" s="2">
        <v>7776.74</v>
      </c>
    </row>
    <row r="313" spans="1:12" x14ac:dyDescent="0.35">
      <c r="A313" s="2">
        <v>10312</v>
      </c>
      <c r="B313" s="2">
        <v>1279</v>
      </c>
      <c r="C313" s="2" t="s">
        <v>37</v>
      </c>
      <c r="D313" s="2" t="s">
        <v>31</v>
      </c>
      <c r="E313" s="2" t="s">
        <v>25</v>
      </c>
      <c r="F313" s="2" t="s">
        <v>15</v>
      </c>
      <c r="G313" s="2" t="s">
        <v>40</v>
      </c>
      <c r="H313" s="2" t="s">
        <v>27</v>
      </c>
      <c r="I313" s="2">
        <v>1</v>
      </c>
      <c r="J313" s="2">
        <v>2588.64</v>
      </c>
      <c r="K313" s="2">
        <v>0</v>
      </c>
      <c r="L313" s="2">
        <v>2588.64</v>
      </c>
    </row>
    <row r="314" spans="1:12" x14ac:dyDescent="0.35">
      <c r="A314" s="2">
        <v>10313</v>
      </c>
      <c r="B314" s="2">
        <v>1836</v>
      </c>
      <c r="C314" s="2" t="s">
        <v>32</v>
      </c>
      <c r="D314" s="2" t="s">
        <v>33</v>
      </c>
      <c r="E314" s="2" t="s">
        <v>14</v>
      </c>
      <c r="F314" s="2" t="s">
        <v>29</v>
      </c>
      <c r="G314" s="2" t="s">
        <v>42</v>
      </c>
      <c r="H314" s="2" t="s">
        <v>36</v>
      </c>
      <c r="I314" s="2">
        <v>1</v>
      </c>
      <c r="J314" s="2">
        <v>3251.27</v>
      </c>
      <c r="K314" s="2">
        <v>15</v>
      </c>
      <c r="L314" s="2">
        <v>2763.58</v>
      </c>
    </row>
    <row r="315" spans="1:12" x14ac:dyDescent="0.35">
      <c r="A315" s="2">
        <v>10314</v>
      </c>
      <c r="B315" s="2">
        <v>1883</v>
      </c>
      <c r="C315" s="2" t="s">
        <v>30</v>
      </c>
      <c r="D315" s="2" t="s">
        <v>13</v>
      </c>
      <c r="E315" s="2" t="s">
        <v>20</v>
      </c>
      <c r="F315" s="2" t="s">
        <v>21</v>
      </c>
      <c r="G315" s="2" t="s">
        <v>22</v>
      </c>
      <c r="H315" s="2" t="s">
        <v>23</v>
      </c>
      <c r="I315" s="2">
        <v>1</v>
      </c>
      <c r="J315" s="2">
        <v>1681.85</v>
      </c>
      <c r="K315" s="2">
        <v>5</v>
      </c>
      <c r="L315" s="2">
        <v>1597.76</v>
      </c>
    </row>
    <row r="316" spans="1:12" x14ac:dyDescent="0.35">
      <c r="A316" s="2">
        <v>10315</v>
      </c>
      <c r="B316" s="2">
        <v>1609</v>
      </c>
      <c r="C316" s="2" t="s">
        <v>30</v>
      </c>
      <c r="D316" s="2" t="s">
        <v>24</v>
      </c>
      <c r="E316" s="2" t="s">
        <v>20</v>
      </c>
      <c r="F316" s="2" t="s">
        <v>15</v>
      </c>
      <c r="G316" s="2" t="s">
        <v>39</v>
      </c>
      <c r="H316" s="2" t="s">
        <v>36</v>
      </c>
      <c r="I316" s="2">
        <v>8</v>
      </c>
      <c r="J316" s="2">
        <v>3253.02</v>
      </c>
      <c r="K316" s="2">
        <v>15</v>
      </c>
      <c r="L316" s="2">
        <v>22120.54</v>
      </c>
    </row>
    <row r="317" spans="1:12" x14ac:dyDescent="0.35">
      <c r="A317" s="2">
        <v>10316</v>
      </c>
      <c r="B317" s="2">
        <v>1197</v>
      </c>
      <c r="C317" s="2" t="s">
        <v>37</v>
      </c>
      <c r="D317" s="2" t="s">
        <v>31</v>
      </c>
      <c r="E317" s="2" t="s">
        <v>25</v>
      </c>
      <c r="F317" s="2" t="s">
        <v>15</v>
      </c>
      <c r="G317" s="2" t="s">
        <v>42</v>
      </c>
      <c r="H317" s="2" t="s">
        <v>27</v>
      </c>
      <c r="I317" s="2">
        <v>8</v>
      </c>
      <c r="J317" s="2">
        <v>2429.2600000000002</v>
      </c>
      <c r="K317" s="2">
        <v>15</v>
      </c>
      <c r="L317" s="2">
        <v>16518.97</v>
      </c>
    </row>
    <row r="318" spans="1:12" x14ac:dyDescent="0.35">
      <c r="A318" s="2">
        <v>10317</v>
      </c>
      <c r="B318" s="2">
        <v>1981</v>
      </c>
      <c r="C318" s="2" t="s">
        <v>28</v>
      </c>
      <c r="D318" s="2" t="s">
        <v>31</v>
      </c>
      <c r="E318" s="2" t="s">
        <v>20</v>
      </c>
      <c r="F318" s="2" t="s">
        <v>21</v>
      </c>
      <c r="G318" s="2" t="s">
        <v>39</v>
      </c>
      <c r="H318" s="2" t="s">
        <v>38</v>
      </c>
      <c r="I318" s="2">
        <v>2</v>
      </c>
      <c r="J318" s="2">
        <v>788.72</v>
      </c>
      <c r="K318" s="2">
        <v>20</v>
      </c>
      <c r="L318" s="2">
        <v>1261.95</v>
      </c>
    </row>
    <row r="319" spans="1:12" x14ac:dyDescent="0.35">
      <c r="A319" s="2">
        <v>10318</v>
      </c>
      <c r="B319" s="2">
        <v>1906</v>
      </c>
      <c r="C319" s="2" t="s">
        <v>12</v>
      </c>
      <c r="D319" s="2" t="s">
        <v>19</v>
      </c>
      <c r="E319" s="2" t="s">
        <v>25</v>
      </c>
      <c r="F319" s="2" t="s">
        <v>29</v>
      </c>
      <c r="G319" s="2" t="s">
        <v>39</v>
      </c>
      <c r="H319" s="2" t="s">
        <v>17</v>
      </c>
      <c r="I319" s="2">
        <v>7</v>
      </c>
      <c r="J319" s="2">
        <v>245.03</v>
      </c>
      <c r="K319" s="2">
        <v>0</v>
      </c>
      <c r="L319" s="2">
        <v>1715.21</v>
      </c>
    </row>
    <row r="320" spans="1:12" x14ac:dyDescent="0.35">
      <c r="A320" s="2">
        <v>10319</v>
      </c>
      <c r="B320" s="2">
        <v>1510</v>
      </c>
      <c r="C320" s="2" t="s">
        <v>18</v>
      </c>
      <c r="D320" s="2" t="s">
        <v>31</v>
      </c>
      <c r="E320" s="2" t="s">
        <v>20</v>
      </c>
      <c r="F320" s="2" t="s">
        <v>15</v>
      </c>
      <c r="G320" s="2" t="s">
        <v>39</v>
      </c>
      <c r="H320" s="2" t="s">
        <v>23</v>
      </c>
      <c r="I320" s="2">
        <v>8</v>
      </c>
      <c r="J320" s="2">
        <v>1546.6</v>
      </c>
      <c r="K320" s="2">
        <v>15</v>
      </c>
      <c r="L320" s="2">
        <v>10516.88</v>
      </c>
    </row>
    <row r="321" spans="1:12" x14ac:dyDescent="0.35">
      <c r="A321" s="2">
        <v>10320</v>
      </c>
      <c r="B321" s="2">
        <v>1751</v>
      </c>
      <c r="C321" s="2" t="s">
        <v>12</v>
      </c>
      <c r="D321" s="2" t="s">
        <v>13</v>
      </c>
      <c r="E321" s="2" t="s">
        <v>14</v>
      </c>
      <c r="F321" s="2" t="s">
        <v>29</v>
      </c>
      <c r="G321" s="2" t="s">
        <v>22</v>
      </c>
      <c r="H321" s="2" t="s">
        <v>23</v>
      </c>
      <c r="I321" s="2">
        <v>8</v>
      </c>
      <c r="J321" s="2">
        <v>2254.7800000000002</v>
      </c>
      <c r="K321" s="2">
        <v>0</v>
      </c>
      <c r="L321" s="2">
        <v>18038.240000000002</v>
      </c>
    </row>
    <row r="322" spans="1:12" x14ac:dyDescent="0.35">
      <c r="A322" s="2">
        <v>10321</v>
      </c>
      <c r="B322" s="2">
        <v>1143</v>
      </c>
      <c r="C322" s="2" t="s">
        <v>30</v>
      </c>
      <c r="D322" s="2" t="s">
        <v>13</v>
      </c>
      <c r="E322" s="2" t="s">
        <v>25</v>
      </c>
      <c r="F322" s="2" t="s">
        <v>34</v>
      </c>
      <c r="G322" s="2" t="s">
        <v>40</v>
      </c>
      <c r="H322" s="2" t="s">
        <v>36</v>
      </c>
      <c r="I322" s="2">
        <v>7</v>
      </c>
      <c r="J322" s="2">
        <v>3383.31</v>
      </c>
      <c r="K322" s="2">
        <v>20</v>
      </c>
      <c r="L322" s="2">
        <v>18946.54</v>
      </c>
    </row>
    <row r="323" spans="1:12" x14ac:dyDescent="0.35">
      <c r="A323" s="2">
        <v>10322</v>
      </c>
      <c r="B323" s="2">
        <v>1608</v>
      </c>
      <c r="C323" s="2" t="s">
        <v>12</v>
      </c>
      <c r="D323" s="2" t="s">
        <v>41</v>
      </c>
      <c r="E323" s="2" t="s">
        <v>25</v>
      </c>
      <c r="F323" s="2" t="s">
        <v>29</v>
      </c>
      <c r="G323" s="2" t="s">
        <v>22</v>
      </c>
      <c r="H323" s="2" t="s">
        <v>23</v>
      </c>
      <c r="I323" s="2">
        <v>5</v>
      </c>
      <c r="J323" s="2">
        <v>640.82000000000005</v>
      </c>
      <c r="K323" s="2">
        <v>0</v>
      </c>
      <c r="L323" s="2">
        <v>3204.1</v>
      </c>
    </row>
    <row r="324" spans="1:12" x14ac:dyDescent="0.35">
      <c r="A324" s="2">
        <v>10323</v>
      </c>
      <c r="B324" s="2">
        <v>1200</v>
      </c>
      <c r="C324" s="2" t="s">
        <v>37</v>
      </c>
      <c r="D324" s="2" t="s">
        <v>13</v>
      </c>
      <c r="E324" s="2" t="s">
        <v>20</v>
      </c>
      <c r="F324" s="2" t="s">
        <v>35</v>
      </c>
      <c r="G324" s="2" t="s">
        <v>26</v>
      </c>
      <c r="H324" s="2" t="s">
        <v>27</v>
      </c>
      <c r="I324" s="2">
        <v>1</v>
      </c>
      <c r="J324" s="2">
        <v>3230.79</v>
      </c>
      <c r="K324" s="2">
        <v>5</v>
      </c>
      <c r="L324" s="2">
        <v>3069.25</v>
      </c>
    </row>
    <row r="325" spans="1:12" x14ac:dyDescent="0.35">
      <c r="A325" s="2">
        <v>10324</v>
      </c>
      <c r="B325" s="2">
        <v>1123</v>
      </c>
      <c r="C325" s="2" t="s">
        <v>37</v>
      </c>
      <c r="D325" s="2" t="s">
        <v>33</v>
      </c>
      <c r="E325" s="2" t="s">
        <v>20</v>
      </c>
      <c r="F325" s="2" t="s">
        <v>35</v>
      </c>
      <c r="G325" s="2" t="s">
        <v>42</v>
      </c>
      <c r="H325" s="2" t="s">
        <v>27</v>
      </c>
      <c r="I325" s="2">
        <v>9</v>
      </c>
      <c r="J325" s="2">
        <v>3472.58</v>
      </c>
      <c r="K325" s="2">
        <v>15</v>
      </c>
      <c r="L325" s="2">
        <v>26565.24</v>
      </c>
    </row>
    <row r="326" spans="1:12" x14ac:dyDescent="0.35">
      <c r="A326" s="2">
        <v>10325</v>
      </c>
      <c r="B326" s="2">
        <v>1186</v>
      </c>
      <c r="C326" s="2" t="s">
        <v>30</v>
      </c>
      <c r="D326" s="2" t="s">
        <v>31</v>
      </c>
      <c r="E326" s="2" t="s">
        <v>25</v>
      </c>
      <c r="F326" s="2" t="s">
        <v>29</v>
      </c>
      <c r="G326" s="2" t="s">
        <v>40</v>
      </c>
      <c r="H326" s="2" t="s">
        <v>36</v>
      </c>
      <c r="I326" s="2">
        <v>7</v>
      </c>
      <c r="J326" s="2">
        <v>730.15</v>
      </c>
      <c r="K326" s="2">
        <v>0</v>
      </c>
      <c r="L326" s="2">
        <v>5111.05</v>
      </c>
    </row>
    <row r="327" spans="1:12" x14ac:dyDescent="0.35">
      <c r="A327" s="2">
        <v>10326</v>
      </c>
      <c r="B327" s="2">
        <v>1325</v>
      </c>
      <c r="C327" s="2" t="s">
        <v>30</v>
      </c>
      <c r="D327" s="2" t="s">
        <v>13</v>
      </c>
      <c r="E327" s="2" t="s">
        <v>20</v>
      </c>
      <c r="F327" s="2" t="s">
        <v>35</v>
      </c>
      <c r="G327" s="2" t="s">
        <v>40</v>
      </c>
      <c r="H327" s="2" t="s">
        <v>27</v>
      </c>
      <c r="I327" s="2">
        <v>2</v>
      </c>
      <c r="J327" s="2">
        <v>3428.64</v>
      </c>
      <c r="K327" s="2">
        <v>10</v>
      </c>
      <c r="L327" s="2">
        <v>6171.55</v>
      </c>
    </row>
    <row r="328" spans="1:12" x14ac:dyDescent="0.35">
      <c r="A328" s="2">
        <v>10327</v>
      </c>
      <c r="B328" s="2">
        <v>1463</v>
      </c>
      <c r="C328" s="2" t="s">
        <v>18</v>
      </c>
      <c r="D328" s="2" t="s">
        <v>19</v>
      </c>
      <c r="E328" s="2" t="s">
        <v>14</v>
      </c>
      <c r="F328" s="2" t="s">
        <v>34</v>
      </c>
      <c r="G328" s="2" t="s">
        <v>40</v>
      </c>
      <c r="H328" s="2" t="s">
        <v>38</v>
      </c>
      <c r="I328" s="2">
        <v>6</v>
      </c>
      <c r="J328" s="2">
        <v>3967.1</v>
      </c>
      <c r="K328" s="2">
        <v>0</v>
      </c>
      <c r="L328" s="2">
        <v>23802.6</v>
      </c>
    </row>
    <row r="329" spans="1:12" x14ac:dyDescent="0.35">
      <c r="A329" s="2">
        <v>10328</v>
      </c>
      <c r="B329" s="2">
        <v>1348</v>
      </c>
      <c r="C329" s="2" t="s">
        <v>18</v>
      </c>
      <c r="D329" s="2" t="s">
        <v>41</v>
      </c>
      <c r="E329" s="2" t="s">
        <v>20</v>
      </c>
      <c r="F329" s="2" t="s">
        <v>21</v>
      </c>
      <c r="G329" s="2" t="s">
        <v>40</v>
      </c>
      <c r="H329" s="2" t="s">
        <v>36</v>
      </c>
      <c r="I329" s="2">
        <v>2</v>
      </c>
      <c r="J329" s="2">
        <v>2948.33</v>
      </c>
      <c r="K329" s="2">
        <v>15</v>
      </c>
      <c r="L329" s="2">
        <v>5012.16</v>
      </c>
    </row>
    <row r="330" spans="1:12" x14ac:dyDescent="0.35">
      <c r="A330" s="2">
        <v>10329</v>
      </c>
      <c r="B330" s="2">
        <v>1770</v>
      </c>
      <c r="C330" s="2" t="s">
        <v>32</v>
      </c>
      <c r="D330" s="2" t="s">
        <v>31</v>
      </c>
      <c r="E330" s="2" t="s">
        <v>14</v>
      </c>
      <c r="F330" s="2" t="s">
        <v>35</v>
      </c>
      <c r="G330" s="2" t="s">
        <v>22</v>
      </c>
      <c r="H330" s="2" t="s">
        <v>38</v>
      </c>
      <c r="I330" s="2">
        <v>1</v>
      </c>
      <c r="J330" s="2">
        <v>3171.36</v>
      </c>
      <c r="K330" s="2">
        <v>20</v>
      </c>
      <c r="L330" s="2">
        <v>2537.09</v>
      </c>
    </row>
    <row r="331" spans="1:12" x14ac:dyDescent="0.35">
      <c r="A331" s="2">
        <v>10330</v>
      </c>
      <c r="B331" s="2">
        <v>1659</v>
      </c>
      <c r="C331" s="2" t="s">
        <v>30</v>
      </c>
      <c r="D331" s="2" t="s">
        <v>41</v>
      </c>
      <c r="E331" s="2" t="s">
        <v>14</v>
      </c>
      <c r="F331" s="2" t="s">
        <v>35</v>
      </c>
      <c r="G331" s="2" t="s">
        <v>40</v>
      </c>
      <c r="H331" s="2" t="s">
        <v>17</v>
      </c>
      <c r="I331" s="2">
        <v>7</v>
      </c>
      <c r="J331" s="2">
        <v>3978.5</v>
      </c>
      <c r="K331" s="2">
        <v>20</v>
      </c>
      <c r="L331" s="2">
        <v>22279.599999999999</v>
      </c>
    </row>
    <row r="332" spans="1:12" x14ac:dyDescent="0.35">
      <c r="A332" s="2">
        <v>10331</v>
      </c>
      <c r="B332" s="2">
        <v>1763</v>
      </c>
      <c r="C332" s="2" t="s">
        <v>28</v>
      </c>
      <c r="D332" s="2" t="s">
        <v>31</v>
      </c>
      <c r="E332" s="2" t="s">
        <v>14</v>
      </c>
      <c r="F332" s="2" t="s">
        <v>29</v>
      </c>
      <c r="G332" s="2" t="s">
        <v>16</v>
      </c>
      <c r="H332" s="2" t="s">
        <v>38</v>
      </c>
      <c r="I332" s="2">
        <v>2</v>
      </c>
      <c r="J332" s="2">
        <v>2481.1</v>
      </c>
      <c r="K332" s="2">
        <v>15</v>
      </c>
      <c r="L332" s="2">
        <v>4217.87</v>
      </c>
    </row>
    <row r="333" spans="1:12" x14ac:dyDescent="0.35">
      <c r="A333" s="2">
        <v>10332</v>
      </c>
      <c r="B333" s="2">
        <v>1954</v>
      </c>
      <c r="C333" s="2" t="s">
        <v>12</v>
      </c>
      <c r="D333" s="2" t="s">
        <v>19</v>
      </c>
      <c r="E333" s="2" t="s">
        <v>14</v>
      </c>
      <c r="F333" s="2" t="s">
        <v>34</v>
      </c>
      <c r="G333" s="2" t="s">
        <v>42</v>
      </c>
      <c r="H333" s="2" t="s">
        <v>17</v>
      </c>
      <c r="I333" s="2">
        <v>2</v>
      </c>
      <c r="J333" s="2">
        <v>1335.36</v>
      </c>
      <c r="K333" s="2">
        <v>5</v>
      </c>
      <c r="L333" s="2">
        <v>2537.1799999999998</v>
      </c>
    </row>
    <row r="334" spans="1:12" x14ac:dyDescent="0.35">
      <c r="A334" s="2">
        <v>10333</v>
      </c>
      <c r="B334" s="2">
        <v>1931</v>
      </c>
      <c r="C334" s="2" t="s">
        <v>30</v>
      </c>
      <c r="D334" s="2" t="s">
        <v>41</v>
      </c>
      <c r="E334" s="2" t="s">
        <v>14</v>
      </c>
      <c r="F334" s="2" t="s">
        <v>21</v>
      </c>
      <c r="G334" s="2" t="s">
        <v>40</v>
      </c>
      <c r="H334" s="2" t="s">
        <v>17</v>
      </c>
      <c r="I334" s="2">
        <v>5</v>
      </c>
      <c r="J334" s="2">
        <v>3374.49</v>
      </c>
      <c r="K334" s="2">
        <v>5</v>
      </c>
      <c r="L334" s="2">
        <v>16028.83</v>
      </c>
    </row>
    <row r="335" spans="1:12" x14ac:dyDescent="0.35">
      <c r="A335" s="2">
        <v>10334</v>
      </c>
      <c r="B335" s="2">
        <v>1402</v>
      </c>
      <c r="C335" s="2" t="s">
        <v>13</v>
      </c>
      <c r="D335" s="2" t="s">
        <v>24</v>
      </c>
      <c r="E335" s="2" t="s">
        <v>20</v>
      </c>
      <c r="F335" s="2" t="s">
        <v>29</v>
      </c>
      <c r="G335" s="2" t="s">
        <v>42</v>
      </c>
      <c r="H335" s="2" t="s">
        <v>38</v>
      </c>
      <c r="I335" s="2">
        <v>5</v>
      </c>
      <c r="J335" s="2">
        <v>2515.77</v>
      </c>
      <c r="K335" s="2">
        <v>20</v>
      </c>
      <c r="L335" s="2">
        <v>10063.08</v>
      </c>
    </row>
    <row r="336" spans="1:12" x14ac:dyDescent="0.35">
      <c r="A336" s="2">
        <v>10335</v>
      </c>
      <c r="B336" s="2">
        <v>1345</v>
      </c>
      <c r="C336" s="2" t="s">
        <v>32</v>
      </c>
      <c r="D336" s="2" t="s">
        <v>33</v>
      </c>
      <c r="E336" s="2" t="s">
        <v>14</v>
      </c>
      <c r="F336" s="2" t="s">
        <v>29</v>
      </c>
      <c r="G336" s="2" t="s">
        <v>16</v>
      </c>
      <c r="H336" s="2" t="s">
        <v>36</v>
      </c>
      <c r="I336" s="2">
        <v>7</v>
      </c>
      <c r="J336" s="2">
        <v>2387.6</v>
      </c>
      <c r="K336" s="2">
        <v>20</v>
      </c>
      <c r="L336" s="2">
        <v>13370.56</v>
      </c>
    </row>
    <row r="337" spans="1:12" x14ac:dyDescent="0.35">
      <c r="A337" s="2">
        <v>10336</v>
      </c>
      <c r="B337" s="2">
        <v>1962</v>
      </c>
      <c r="C337" s="2" t="s">
        <v>13</v>
      </c>
      <c r="D337" s="2" t="s">
        <v>33</v>
      </c>
      <c r="E337" s="2" t="s">
        <v>20</v>
      </c>
      <c r="F337" s="2" t="s">
        <v>34</v>
      </c>
      <c r="G337" s="2" t="s">
        <v>16</v>
      </c>
      <c r="H337" s="2" t="s">
        <v>27</v>
      </c>
      <c r="I337" s="2">
        <v>1</v>
      </c>
      <c r="J337" s="2">
        <v>1126.5</v>
      </c>
      <c r="K337" s="2">
        <v>15</v>
      </c>
      <c r="L337" s="2">
        <v>957.52</v>
      </c>
    </row>
    <row r="338" spans="1:12" x14ac:dyDescent="0.35">
      <c r="A338" s="2">
        <v>10337</v>
      </c>
      <c r="B338" s="2">
        <v>1510</v>
      </c>
      <c r="C338" s="2" t="s">
        <v>37</v>
      </c>
      <c r="D338" s="2" t="s">
        <v>31</v>
      </c>
      <c r="E338" s="2" t="s">
        <v>14</v>
      </c>
      <c r="F338" s="2" t="s">
        <v>21</v>
      </c>
      <c r="G338" s="2" t="s">
        <v>42</v>
      </c>
      <c r="H338" s="2" t="s">
        <v>27</v>
      </c>
      <c r="I338" s="2">
        <v>8</v>
      </c>
      <c r="J338" s="2">
        <v>3061.89</v>
      </c>
      <c r="K338" s="2">
        <v>5</v>
      </c>
      <c r="L338" s="2">
        <v>23270.36</v>
      </c>
    </row>
    <row r="339" spans="1:12" x14ac:dyDescent="0.35">
      <c r="A339" s="2">
        <v>10338</v>
      </c>
      <c r="B339" s="2">
        <v>1146</v>
      </c>
      <c r="C339" s="2" t="s">
        <v>18</v>
      </c>
      <c r="D339" s="2" t="s">
        <v>24</v>
      </c>
      <c r="E339" s="2" t="s">
        <v>25</v>
      </c>
      <c r="F339" s="2" t="s">
        <v>34</v>
      </c>
      <c r="G339" s="2" t="s">
        <v>39</v>
      </c>
      <c r="H339" s="2" t="s">
        <v>17</v>
      </c>
      <c r="I339" s="2">
        <v>3</v>
      </c>
      <c r="J339" s="2">
        <v>464.42</v>
      </c>
      <c r="K339" s="2">
        <v>20</v>
      </c>
      <c r="L339" s="2">
        <v>1114.6099999999999</v>
      </c>
    </row>
    <row r="340" spans="1:12" x14ac:dyDescent="0.35">
      <c r="A340" s="2">
        <v>10339</v>
      </c>
      <c r="B340" s="2">
        <v>1147</v>
      </c>
      <c r="C340" s="2" t="s">
        <v>12</v>
      </c>
      <c r="D340" s="2" t="s">
        <v>41</v>
      </c>
      <c r="E340" s="2" t="s">
        <v>14</v>
      </c>
      <c r="F340" s="2" t="s">
        <v>21</v>
      </c>
      <c r="G340" s="2" t="s">
        <v>26</v>
      </c>
      <c r="H340" s="2" t="s">
        <v>17</v>
      </c>
      <c r="I340" s="2">
        <v>4</v>
      </c>
      <c r="J340" s="2">
        <v>3708.51</v>
      </c>
      <c r="K340" s="2">
        <v>5</v>
      </c>
      <c r="L340" s="2">
        <v>14092.34</v>
      </c>
    </row>
    <row r="341" spans="1:12" x14ac:dyDescent="0.35">
      <c r="A341" s="2">
        <v>10340</v>
      </c>
      <c r="B341" s="2">
        <v>1863</v>
      </c>
      <c r="C341" s="2" t="s">
        <v>30</v>
      </c>
      <c r="D341" s="2" t="s">
        <v>24</v>
      </c>
      <c r="E341" s="2" t="s">
        <v>25</v>
      </c>
      <c r="F341" s="2" t="s">
        <v>34</v>
      </c>
      <c r="G341" s="2" t="s">
        <v>39</v>
      </c>
      <c r="H341" s="2" t="s">
        <v>36</v>
      </c>
      <c r="I341" s="2">
        <v>9</v>
      </c>
      <c r="J341" s="2">
        <v>1404.42</v>
      </c>
      <c r="K341" s="2">
        <v>20</v>
      </c>
      <c r="L341" s="2">
        <v>10111.82</v>
      </c>
    </row>
    <row r="342" spans="1:12" x14ac:dyDescent="0.35">
      <c r="A342" s="2">
        <v>10341</v>
      </c>
      <c r="B342" s="2">
        <v>1710</v>
      </c>
      <c r="C342" s="2" t="s">
        <v>13</v>
      </c>
      <c r="D342" s="2" t="s">
        <v>24</v>
      </c>
      <c r="E342" s="2" t="s">
        <v>14</v>
      </c>
      <c r="F342" s="2" t="s">
        <v>29</v>
      </c>
      <c r="G342" s="2" t="s">
        <v>39</v>
      </c>
      <c r="H342" s="2" t="s">
        <v>23</v>
      </c>
      <c r="I342" s="2">
        <v>4</v>
      </c>
      <c r="J342" s="2">
        <v>641.92999999999995</v>
      </c>
      <c r="K342" s="2">
        <v>0</v>
      </c>
      <c r="L342" s="2">
        <v>2567.7199999999998</v>
      </c>
    </row>
    <row r="343" spans="1:12" x14ac:dyDescent="0.35">
      <c r="A343" s="2">
        <v>10342</v>
      </c>
      <c r="B343" s="2">
        <v>1819</v>
      </c>
      <c r="C343" s="2" t="s">
        <v>12</v>
      </c>
      <c r="D343" s="2" t="s">
        <v>41</v>
      </c>
      <c r="E343" s="2" t="s">
        <v>14</v>
      </c>
      <c r="F343" s="2" t="s">
        <v>29</v>
      </c>
      <c r="G343" s="2" t="s">
        <v>22</v>
      </c>
      <c r="H343" s="2" t="s">
        <v>38</v>
      </c>
      <c r="I343" s="2">
        <v>5</v>
      </c>
      <c r="J343" s="2">
        <v>1853.11</v>
      </c>
      <c r="K343" s="2">
        <v>10</v>
      </c>
      <c r="L343" s="2">
        <v>8338.99</v>
      </c>
    </row>
    <row r="344" spans="1:12" x14ac:dyDescent="0.35">
      <c r="A344" s="2">
        <v>10343</v>
      </c>
      <c r="B344" s="2">
        <v>1488</v>
      </c>
      <c r="C344" s="2" t="s">
        <v>37</v>
      </c>
      <c r="D344" s="2" t="s">
        <v>19</v>
      </c>
      <c r="E344" s="2" t="s">
        <v>14</v>
      </c>
      <c r="F344" s="2" t="s">
        <v>15</v>
      </c>
      <c r="G344" s="2" t="s">
        <v>39</v>
      </c>
      <c r="H344" s="2" t="s">
        <v>17</v>
      </c>
      <c r="I344" s="2">
        <v>7</v>
      </c>
      <c r="J344" s="2">
        <v>313.51</v>
      </c>
      <c r="K344" s="2">
        <v>0</v>
      </c>
      <c r="L344" s="2">
        <v>2194.5700000000002</v>
      </c>
    </row>
    <row r="345" spans="1:12" x14ac:dyDescent="0.35">
      <c r="A345" s="2">
        <v>10344</v>
      </c>
      <c r="B345" s="2">
        <v>1928</v>
      </c>
      <c r="C345" s="2" t="s">
        <v>18</v>
      </c>
      <c r="D345" s="2" t="s">
        <v>24</v>
      </c>
      <c r="E345" s="2" t="s">
        <v>25</v>
      </c>
      <c r="F345" s="2" t="s">
        <v>35</v>
      </c>
      <c r="G345" s="2" t="s">
        <v>40</v>
      </c>
      <c r="H345" s="2" t="s">
        <v>27</v>
      </c>
      <c r="I345" s="2">
        <v>4</v>
      </c>
      <c r="J345" s="2">
        <v>2785.81</v>
      </c>
      <c r="K345" s="2">
        <v>20</v>
      </c>
      <c r="L345" s="2">
        <v>8914.59</v>
      </c>
    </row>
    <row r="346" spans="1:12" x14ac:dyDescent="0.35">
      <c r="A346" s="2">
        <v>10345</v>
      </c>
      <c r="B346" s="2">
        <v>1935</v>
      </c>
      <c r="C346" s="2" t="s">
        <v>28</v>
      </c>
      <c r="D346" s="2" t="s">
        <v>24</v>
      </c>
      <c r="E346" s="2" t="s">
        <v>25</v>
      </c>
      <c r="F346" s="2" t="s">
        <v>34</v>
      </c>
      <c r="G346" s="2" t="s">
        <v>22</v>
      </c>
      <c r="H346" s="2" t="s">
        <v>36</v>
      </c>
      <c r="I346" s="2">
        <v>1</v>
      </c>
      <c r="J346" s="2">
        <v>3625.42</v>
      </c>
      <c r="K346" s="2">
        <v>10</v>
      </c>
      <c r="L346" s="2">
        <v>3262.88</v>
      </c>
    </row>
    <row r="347" spans="1:12" x14ac:dyDescent="0.35">
      <c r="A347" s="2">
        <v>10346</v>
      </c>
      <c r="B347" s="2">
        <v>1639</v>
      </c>
      <c r="C347" s="2" t="s">
        <v>32</v>
      </c>
      <c r="D347" s="2" t="s">
        <v>19</v>
      </c>
      <c r="E347" s="2" t="s">
        <v>14</v>
      </c>
      <c r="F347" s="2" t="s">
        <v>15</v>
      </c>
      <c r="G347" s="2" t="s">
        <v>22</v>
      </c>
      <c r="H347" s="2" t="s">
        <v>38</v>
      </c>
      <c r="I347" s="2">
        <v>9</v>
      </c>
      <c r="J347" s="2">
        <v>3373.46</v>
      </c>
      <c r="K347" s="2">
        <v>10</v>
      </c>
      <c r="L347" s="2">
        <v>27325.03</v>
      </c>
    </row>
    <row r="348" spans="1:12" x14ac:dyDescent="0.35">
      <c r="A348" s="2">
        <v>10347</v>
      </c>
      <c r="B348" s="2">
        <v>1550</v>
      </c>
      <c r="C348" s="2" t="s">
        <v>12</v>
      </c>
      <c r="D348" s="2" t="s">
        <v>24</v>
      </c>
      <c r="E348" s="2" t="s">
        <v>20</v>
      </c>
      <c r="F348" s="2" t="s">
        <v>35</v>
      </c>
      <c r="G348" s="2" t="s">
        <v>16</v>
      </c>
      <c r="H348" s="2" t="s">
        <v>36</v>
      </c>
      <c r="I348" s="2">
        <v>4</v>
      </c>
      <c r="J348" s="2">
        <v>640.37</v>
      </c>
      <c r="K348" s="2">
        <v>20</v>
      </c>
      <c r="L348" s="2">
        <v>2049.1799999999998</v>
      </c>
    </row>
    <row r="349" spans="1:12" x14ac:dyDescent="0.35">
      <c r="A349" s="2">
        <v>10348</v>
      </c>
      <c r="B349" s="2">
        <v>1337</v>
      </c>
      <c r="C349" s="2" t="s">
        <v>12</v>
      </c>
      <c r="D349" s="2" t="s">
        <v>24</v>
      </c>
      <c r="E349" s="2" t="s">
        <v>14</v>
      </c>
      <c r="F349" s="2" t="s">
        <v>34</v>
      </c>
      <c r="G349" s="2" t="s">
        <v>39</v>
      </c>
      <c r="H349" s="2" t="s">
        <v>38</v>
      </c>
      <c r="I349" s="2">
        <v>9</v>
      </c>
      <c r="J349" s="2">
        <v>636.14</v>
      </c>
      <c r="K349" s="2">
        <v>20</v>
      </c>
      <c r="L349" s="2">
        <v>4580.21</v>
      </c>
    </row>
    <row r="350" spans="1:12" x14ac:dyDescent="0.35">
      <c r="A350" s="2">
        <v>10349</v>
      </c>
      <c r="B350" s="2">
        <v>1871</v>
      </c>
      <c r="C350" s="2" t="s">
        <v>28</v>
      </c>
      <c r="D350" s="2" t="s">
        <v>24</v>
      </c>
      <c r="E350" s="2" t="s">
        <v>25</v>
      </c>
      <c r="F350" s="2" t="s">
        <v>21</v>
      </c>
      <c r="G350" s="2" t="s">
        <v>16</v>
      </c>
      <c r="H350" s="2" t="s">
        <v>38</v>
      </c>
      <c r="I350" s="2">
        <v>6</v>
      </c>
      <c r="J350" s="2">
        <v>3281.72</v>
      </c>
      <c r="K350" s="2">
        <v>5</v>
      </c>
      <c r="L350" s="2">
        <v>18705.8</v>
      </c>
    </row>
    <row r="351" spans="1:12" x14ac:dyDescent="0.35">
      <c r="A351" s="2">
        <v>10350</v>
      </c>
      <c r="B351" s="2">
        <v>1640</v>
      </c>
      <c r="C351" s="2" t="s">
        <v>12</v>
      </c>
      <c r="D351" s="2" t="s">
        <v>33</v>
      </c>
      <c r="E351" s="2" t="s">
        <v>14</v>
      </c>
      <c r="F351" s="2" t="s">
        <v>35</v>
      </c>
      <c r="G351" s="2" t="s">
        <v>42</v>
      </c>
      <c r="H351" s="2" t="s">
        <v>17</v>
      </c>
      <c r="I351" s="2">
        <v>1</v>
      </c>
      <c r="J351" s="2">
        <v>3708.38</v>
      </c>
      <c r="K351" s="2">
        <v>20</v>
      </c>
      <c r="L351" s="2">
        <v>2966.7</v>
      </c>
    </row>
    <row r="352" spans="1:12" x14ac:dyDescent="0.35">
      <c r="A352" s="2">
        <v>10351</v>
      </c>
      <c r="B352" s="2">
        <v>1778</v>
      </c>
      <c r="C352" s="2" t="s">
        <v>37</v>
      </c>
      <c r="D352" s="2" t="s">
        <v>13</v>
      </c>
      <c r="E352" s="2" t="s">
        <v>25</v>
      </c>
      <c r="F352" s="2" t="s">
        <v>29</v>
      </c>
      <c r="G352" s="2" t="s">
        <v>26</v>
      </c>
      <c r="H352" s="2" t="s">
        <v>36</v>
      </c>
      <c r="I352" s="2">
        <v>3</v>
      </c>
      <c r="J352" s="2">
        <v>1923.58</v>
      </c>
      <c r="K352" s="2">
        <v>15</v>
      </c>
      <c r="L352" s="2">
        <v>4905.13</v>
      </c>
    </row>
    <row r="353" spans="1:12" x14ac:dyDescent="0.35">
      <c r="A353" s="2">
        <v>10352</v>
      </c>
      <c r="B353" s="2">
        <v>1987</v>
      </c>
      <c r="C353" s="2" t="s">
        <v>37</v>
      </c>
      <c r="D353" s="2" t="s">
        <v>19</v>
      </c>
      <c r="E353" s="2" t="s">
        <v>25</v>
      </c>
      <c r="F353" s="2" t="s">
        <v>15</v>
      </c>
      <c r="G353" s="2" t="s">
        <v>22</v>
      </c>
      <c r="H353" s="2" t="s">
        <v>36</v>
      </c>
      <c r="I353" s="2">
        <v>2</v>
      </c>
      <c r="J353" s="2">
        <v>2071.04</v>
      </c>
      <c r="K353" s="2">
        <v>20</v>
      </c>
      <c r="L353" s="2">
        <v>3313.66</v>
      </c>
    </row>
    <row r="354" spans="1:12" x14ac:dyDescent="0.35">
      <c r="A354" s="2">
        <v>10353</v>
      </c>
      <c r="B354" s="2">
        <v>1952</v>
      </c>
      <c r="C354" s="2" t="s">
        <v>28</v>
      </c>
      <c r="D354" s="2" t="s">
        <v>24</v>
      </c>
      <c r="E354" s="2" t="s">
        <v>25</v>
      </c>
      <c r="F354" s="2" t="s">
        <v>35</v>
      </c>
      <c r="G354" s="2" t="s">
        <v>42</v>
      </c>
      <c r="H354" s="2" t="s">
        <v>27</v>
      </c>
      <c r="I354" s="2">
        <v>9</v>
      </c>
      <c r="J354" s="2">
        <v>1375.31</v>
      </c>
      <c r="K354" s="2">
        <v>15</v>
      </c>
      <c r="L354" s="2">
        <v>10521.12</v>
      </c>
    </row>
    <row r="355" spans="1:12" x14ac:dyDescent="0.35">
      <c r="A355" s="2">
        <v>10354</v>
      </c>
      <c r="B355" s="2">
        <v>1472</v>
      </c>
      <c r="C355" s="2" t="s">
        <v>32</v>
      </c>
      <c r="D355" s="2" t="s">
        <v>33</v>
      </c>
      <c r="E355" s="2" t="s">
        <v>14</v>
      </c>
      <c r="F355" s="2" t="s">
        <v>35</v>
      </c>
      <c r="G355" s="2" t="s">
        <v>42</v>
      </c>
      <c r="H355" s="2" t="s">
        <v>27</v>
      </c>
      <c r="I355" s="2">
        <v>1</v>
      </c>
      <c r="J355" s="2">
        <v>3592.92</v>
      </c>
      <c r="K355" s="2">
        <v>20</v>
      </c>
      <c r="L355" s="2">
        <v>2874.34</v>
      </c>
    </row>
    <row r="356" spans="1:12" x14ac:dyDescent="0.35">
      <c r="A356" s="2">
        <v>10355</v>
      </c>
      <c r="B356" s="2">
        <v>1945</v>
      </c>
      <c r="C356" s="2" t="s">
        <v>30</v>
      </c>
      <c r="D356" s="2" t="s">
        <v>19</v>
      </c>
      <c r="E356" s="2" t="s">
        <v>25</v>
      </c>
      <c r="F356" s="2" t="s">
        <v>29</v>
      </c>
      <c r="G356" s="2" t="s">
        <v>40</v>
      </c>
      <c r="H356" s="2" t="s">
        <v>17</v>
      </c>
      <c r="I356" s="2">
        <v>9</v>
      </c>
      <c r="J356" s="2">
        <v>2632.88</v>
      </c>
      <c r="K356" s="2">
        <v>5</v>
      </c>
      <c r="L356" s="2">
        <v>22511.119999999999</v>
      </c>
    </row>
    <row r="357" spans="1:12" x14ac:dyDescent="0.35">
      <c r="A357" s="2">
        <v>10356</v>
      </c>
      <c r="B357" s="2">
        <v>1150</v>
      </c>
      <c r="C357" s="2" t="s">
        <v>13</v>
      </c>
      <c r="D357" s="2" t="s">
        <v>31</v>
      </c>
      <c r="E357" s="2" t="s">
        <v>25</v>
      </c>
      <c r="F357" s="2" t="s">
        <v>34</v>
      </c>
      <c r="G357" s="2" t="s">
        <v>26</v>
      </c>
      <c r="H357" s="2" t="s">
        <v>17</v>
      </c>
      <c r="I357" s="2">
        <v>9</v>
      </c>
      <c r="J357" s="2">
        <v>1259.77</v>
      </c>
      <c r="K357" s="2">
        <v>15</v>
      </c>
      <c r="L357" s="2">
        <v>9637.24</v>
      </c>
    </row>
    <row r="358" spans="1:12" x14ac:dyDescent="0.35">
      <c r="A358" s="2">
        <v>10357</v>
      </c>
      <c r="B358" s="2">
        <v>1414</v>
      </c>
      <c r="C358" s="2" t="s">
        <v>30</v>
      </c>
      <c r="D358" s="2" t="s">
        <v>31</v>
      </c>
      <c r="E358" s="2" t="s">
        <v>14</v>
      </c>
      <c r="F358" s="2" t="s">
        <v>21</v>
      </c>
      <c r="G358" s="2" t="s">
        <v>42</v>
      </c>
      <c r="H358" s="2" t="s">
        <v>23</v>
      </c>
      <c r="I358" s="2">
        <v>8</v>
      </c>
      <c r="J358" s="2">
        <v>1300.31</v>
      </c>
      <c r="K358" s="2">
        <v>0</v>
      </c>
      <c r="L358" s="2">
        <v>10402.48</v>
      </c>
    </row>
    <row r="359" spans="1:12" x14ac:dyDescent="0.35">
      <c r="A359" s="2">
        <v>10358</v>
      </c>
      <c r="B359" s="2">
        <v>1989</v>
      </c>
      <c r="C359" s="2" t="s">
        <v>12</v>
      </c>
      <c r="D359" s="2" t="s">
        <v>24</v>
      </c>
      <c r="E359" s="2" t="s">
        <v>25</v>
      </c>
      <c r="F359" s="2" t="s">
        <v>29</v>
      </c>
      <c r="G359" s="2" t="s">
        <v>42</v>
      </c>
      <c r="H359" s="2" t="s">
        <v>27</v>
      </c>
      <c r="I359" s="2">
        <v>8</v>
      </c>
      <c r="J359" s="2">
        <v>3581.12</v>
      </c>
      <c r="K359" s="2">
        <v>15</v>
      </c>
      <c r="L359" s="2">
        <v>24351.62</v>
      </c>
    </row>
    <row r="360" spans="1:12" x14ac:dyDescent="0.35">
      <c r="A360" s="2">
        <v>10359</v>
      </c>
      <c r="B360" s="2">
        <v>1297</v>
      </c>
      <c r="C360" s="2" t="s">
        <v>13</v>
      </c>
      <c r="D360" s="2" t="s">
        <v>33</v>
      </c>
      <c r="E360" s="2" t="s">
        <v>14</v>
      </c>
      <c r="F360" s="2" t="s">
        <v>21</v>
      </c>
      <c r="G360" s="2" t="s">
        <v>26</v>
      </c>
      <c r="H360" s="2" t="s">
        <v>38</v>
      </c>
      <c r="I360" s="2">
        <v>1</v>
      </c>
      <c r="J360" s="2">
        <v>202.49</v>
      </c>
      <c r="K360" s="2">
        <v>5</v>
      </c>
      <c r="L360" s="2">
        <v>192.37</v>
      </c>
    </row>
    <row r="361" spans="1:12" x14ac:dyDescent="0.35">
      <c r="A361" s="2">
        <v>10360</v>
      </c>
      <c r="B361" s="2">
        <v>1610</v>
      </c>
      <c r="C361" s="2" t="s">
        <v>28</v>
      </c>
      <c r="D361" s="2" t="s">
        <v>33</v>
      </c>
      <c r="E361" s="2" t="s">
        <v>25</v>
      </c>
      <c r="F361" s="2" t="s">
        <v>34</v>
      </c>
      <c r="G361" s="2" t="s">
        <v>26</v>
      </c>
      <c r="H361" s="2" t="s">
        <v>36</v>
      </c>
      <c r="I361" s="2">
        <v>8</v>
      </c>
      <c r="J361" s="2">
        <v>1392.5</v>
      </c>
      <c r="K361" s="2">
        <v>15</v>
      </c>
      <c r="L361" s="2">
        <v>9469</v>
      </c>
    </row>
    <row r="362" spans="1:12" x14ac:dyDescent="0.35">
      <c r="A362" s="2">
        <v>10361</v>
      </c>
      <c r="B362" s="2">
        <v>1262</v>
      </c>
      <c r="C362" s="2" t="s">
        <v>28</v>
      </c>
      <c r="D362" s="2" t="s">
        <v>19</v>
      </c>
      <c r="E362" s="2" t="s">
        <v>20</v>
      </c>
      <c r="F362" s="2" t="s">
        <v>35</v>
      </c>
      <c r="G362" s="2" t="s">
        <v>42</v>
      </c>
      <c r="H362" s="2" t="s">
        <v>17</v>
      </c>
      <c r="I362" s="2">
        <v>3</v>
      </c>
      <c r="J362" s="2">
        <v>2284.27</v>
      </c>
      <c r="K362" s="2">
        <v>20</v>
      </c>
      <c r="L362" s="2">
        <v>5482.25</v>
      </c>
    </row>
    <row r="363" spans="1:12" x14ac:dyDescent="0.35">
      <c r="A363" s="2">
        <v>10362</v>
      </c>
      <c r="B363" s="2">
        <v>1763</v>
      </c>
      <c r="C363" s="2" t="s">
        <v>32</v>
      </c>
      <c r="D363" s="2" t="s">
        <v>19</v>
      </c>
      <c r="E363" s="2" t="s">
        <v>20</v>
      </c>
      <c r="F363" s="2" t="s">
        <v>21</v>
      </c>
      <c r="G363" s="2" t="s">
        <v>26</v>
      </c>
      <c r="H363" s="2" t="s">
        <v>36</v>
      </c>
      <c r="I363" s="2">
        <v>7</v>
      </c>
      <c r="J363" s="2">
        <v>720.64</v>
      </c>
      <c r="K363" s="2">
        <v>20</v>
      </c>
      <c r="L363" s="2">
        <v>4035.58</v>
      </c>
    </row>
    <row r="364" spans="1:12" x14ac:dyDescent="0.35">
      <c r="A364" s="2">
        <v>10363</v>
      </c>
      <c r="B364" s="2">
        <v>1143</v>
      </c>
      <c r="C364" s="2" t="s">
        <v>13</v>
      </c>
      <c r="D364" s="2" t="s">
        <v>33</v>
      </c>
      <c r="E364" s="2" t="s">
        <v>25</v>
      </c>
      <c r="F364" s="2" t="s">
        <v>15</v>
      </c>
      <c r="G364" s="2" t="s">
        <v>42</v>
      </c>
      <c r="H364" s="2" t="s">
        <v>36</v>
      </c>
      <c r="I364" s="2">
        <v>1</v>
      </c>
      <c r="J364" s="2">
        <v>504.58</v>
      </c>
      <c r="K364" s="2">
        <v>5</v>
      </c>
      <c r="L364" s="2">
        <v>479.35</v>
      </c>
    </row>
    <row r="365" spans="1:12" x14ac:dyDescent="0.35">
      <c r="A365" s="2">
        <v>10364</v>
      </c>
      <c r="B365" s="2">
        <v>1345</v>
      </c>
      <c r="C365" s="2" t="s">
        <v>37</v>
      </c>
      <c r="D365" s="2" t="s">
        <v>19</v>
      </c>
      <c r="E365" s="2" t="s">
        <v>20</v>
      </c>
      <c r="F365" s="2" t="s">
        <v>15</v>
      </c>
      <c r="G365" s="2" t="s">
        <v>42</v>
      </c>
      <c r="H365" s="2" t="s">
        <v>23</v>
      </c>
      <c r="I365" s="2">
        <v>1</v>
      </c>
      <c r="J365" s="2">
        <v>3288.81</v>
      </c>
      <c r="K365" s="2">
        <v>10</v>
      </c>
      <c r="L365" s="2">
        <v>2959.93</v>
      </c>
    </row>
    <row r="366" spans="1:12" x14ac:dyDescent="0.35">
      <c r="A366" s="2">
        <v>10365</v>
      </c>
      <c r="B366" s="2">
        <v>1623</v>
      </c>
      <c r="C366" s="2" t="s">
        <v>13</v>
      </c>
      <c r="D366" s="2" t="s">
        <v>33</v>
      </c>
      <c r="E366" s="2" t="s">
        <v>14</v>
      </c>
      <c r="F366" s="2" t="s">
        <v>29</v>
      </c>
      <c r="G366" s="2" t="s">
        <v>40</v>
      </c>
      <c r="H366" s="2" t="s">
        <v>27</v>
      </c>
      <c r="I366" s="2">
        <v>5</v>
      </c>
      <c r="J366" s="2">
        <v>3593.46</v>
      </c>
      <c r="K366" s="2">
        <v>20</v>
      </c>
      <c r="L366" s="2">
        <v>14373.84</v>
      </c>
    </row>
    <row r="367" spans="1:12" x14ac:dyDescent="0.35">
      <c r="A367" s="2">
        <v>10366</v>
      </c>
      <c r="B367" s="2">
        <v>1571</v>
      </c>
      <c r="C367" s="2" t="s">
        <v>12</v>
      </c>
      <c r="D367" s="2" t="s">
        <v>13</v>
      </c>
      <c r="E367" s="2" t="s">
        <v>20</v>
      </c>
      <c r="F367" s="2" t="s">
        <v>34</v>
      </c>
      <c r="G367" s="2" t="s">
        <v>39</v>
      </c>
      <c r="H367" s="2" t="s">
        <v>17</v>
      </c>
      <c r="I367" s="2">
        <v>5</v>
      </c>
      <c r="J367" s="2">
        <v>3320.88</v>
      </c>
      <c r="K367" s="2">
        <v>0</v>
      </c>
      <c r="L367" s="2">
        <v>16604.400000000001</v>
      </c>
    </row>
    <row r="368" spans="1:12" x14ac:dyDescent="0.35">
      <c r="A368" s="2">
        <v>10367</v>
      </c>
      <c r="B368" s="2">
        <v>1880</v>
      </c>
      <c r="C368" s="2" t="s">
        <v>37</v>
      </c>
      <c r="D368" s="2" t="s">
        <v>33</v>
      </c>
      <c r="E368" s="2" t="s">
        <v>25</v>
      </c>
      <c r="F368" s="2" t="s">
        <v>29</v>
      </c>
      <c r="G368" s="2" t="s">
        <v>42</v>
      </c>
      <c r="H368" s="2" t="s">
        <v>36</v>
      </c>
      <c r="I368" s="2">
        <v>8</v>
      </c>
      <c r="J368" s="2">
        <v>3610.33</v>
      </c>
      <c r="K368" s="2">
        <v>5</v>
      </c>
      <c r="L368" s="2">
        <v>27438.51</v>
      </c>
    </row>
    <row r="369" spans="1:12" x14ac:dyDescent="0.35">
      <c r="A369" s="2">
        <v>10368</v>
      </c>
      <c r="B369" s="2">
        <v>1001</v>
      </c>
      <c r="C369" s="2" t="s">
        <v>18</v>
      </c>
      <c r="D369" s="2" t="s">
        <v>31</v>
      </c>
      <c r="E369" s="2" t="s">
        <v>25</v>
      </c>
      <c r="F369" s="2" t="s">
        <v>29</v>
      </c>
      <c r="G369" s="2" t="s">
        <v>16</v>
      </c>
      <c r="H369" s="2" t="s">
        <v>17</v>
      </c>
      <c r="I369" s="2">
        <v>7</v>
      </c>
      <c r="J369" s="2">
        <v>2279.48</v>
      </c>
      <c r="K369" s="2">
        <v>15</v>
      </c>
      <c r="L369" s="2">
        <v>13562.91</v>
      </c>
    </row>
    <row r="370" spans="1:12" x14ac:dyDescent="0.35">
      <c r="A370" s="2">
        <v>10369</v>
      </c>
      <c r="B370" s="2">
        <v>1896</v>
      </c>
      <c r="C370" s="2" t="s">
        <v>18</v>
      </c>
      <c r="D370" s="2" t="s">
        <v>19</v>
      </c>
      <c r="E370" s="2" t="s">
        <v>14</v>
      </c>
      <c r="F370" s="2" t="s">
        <v>29</v>
      </c>
      <c r="G370" s="2" t="s">
        <v>22</v>
      </c>
      <c r="H370" s="2" t="s">
        <v>38</v>
      </c>
      <c r="I370" s="2">
        <v>8</v>
      </c>
      <c r="J370" s="2">
        <v>3277.19</v>
      </c>
      <c r="K370" s="2">
        <v>15</v>
      </c>
      <c r="L370" s="2">
        <v>22284.89</v>
      </c>
    </row>
    <row r="371" spans="1:12" x14ac:dyDescent="0.35">
      <c r="A371" s="2">
        <v>10370</v>
      </c>
      <c r="B371" s="2">
        <v>1303</v>
      </c>
      <c r="C371" s="2" t="s">
        <v>18</v>
      </c>
      <c r="D371" s="2" t="s">
        <v>33</v>
      </c>
      <c r="E371" s="2" t="s">
        <v>25</v>
      </c>
      <c r="F371" s="2" t="s">
        <v>15</v>
      </c>
      <c r="G371" s="2" t="s">
        <v>39</v>
      </c>
      <c r="H371" s="2" t="s">
        <v>23</v>
      </c>
      <c r="I371" s="2">
        <v>6</v>
      </c>
      <c r="J371" s="2">
        <v>1628.56</v>
      </c>
      <c r="K371" s="2">
        <v>0</v>
      </c>
      <c r="L371" s="2">
        <v>9771.36</v>
      </c>
    </row>
    <row r="372" spans="1:12" x14ac:dyDescent="0.35">
      <c r="A372" s="2">
        <v>10371</v>
      </c>
      <c r="B372" s="2">
        <v>1253</v>
      </c>
      <c r="C372" s="2" t="s">
        <v>28</v>
      </c>
      <c r="D372" s="2" t="s">
        <v>33</v>
      </c>
      <c r="E372" s="2" t="s">
        <v>14</v>
      </c>
      <c r="F372" s="2" t="s">
        <v>15</v>
      </c>
      <c r="G372" s="2" t="s">
        <v>39</v>
      </c>
      <c r="H372" s="2" t="s">
        <v>38</v>
      </c>
      <c r="I372" s="2">
        <v>6</v>
      </c>
      <c r="J372" s="2">
        <v>2715.13</v>
      </c>
      <c r="K372" s="2">
        <v>20</v>
      </c>
      <c r="L372" s="2">
        <v>13032.62</v>
      </c>
    </row>
    <row r="373" spans="1:12" x14ac:dyDescent="0.35">
      <c r="A373" s="2">
        <v>10372</v>
      </c>
      <c r="B373" s="2">
        <v>1651</v>
      </c>
      <c r="C373" s="2" t="s">
        <v>13</v>
      </c>
      <c r="D373" s="2" t="s">
        <v>19</v>
      </c>
      <c r="E373" s="2" t="s">
        <v>20</v>
      </c>
      <c r="F373" s="2" t="s">
        <v>29</v>
      </c>
      <c r="G373" s="2" t="s">
        <v>39</v>
      </c>
      <c r="H373" s="2" t="s">
        <v>17</v>
      </c>
      <c r="I373" s="2">
        <v>2</v>
      </c>
      <c r="J373" s="2">
        <v>3957.02</v>
      </c>
      <c r="K373" s="2">
        <v>5</v>
      </c>
      <c r="L373" s="2">
        <v>7518.34</v>
      </c>
    </row>
    <row r="374" spans="1:12" x14ac:dyDescent="0.35">
      <c r="A374" s="2">
        <v>10373</v>
      </c>
      <c r="B374" s="2">
        <v>1452</v>
      </c>
      <c r="C374" s="2" t="s">
        <v>18</v>
      </c>
      <c r="D374" s="2" t="s">
        <v>13</v>
      </c>
      <c r="E374" s="2" t="s">
        <v>20</v>
      </c>
      <c r="F374" s="2" t="s">
        <v>15</v>
      </c>
      <c r="G374" s="2" t="s">
        <v>40</v>
      </c>
      <c r="H374" s="2" t="s">
        <v>17</v>
      </c>
      <c r="I374" s="2">
        <v>6</v>
      </c>
      <c r="J374" s="2">
        <v>1019.05</v>
      </c>
      <c r="K374" s="2">
        <v>0</v>
      </c>
      <c r="L374" s="2">
        <v>6114.3</v>
      </c>
    </row>
    <row r="375" spans="1:12" x14ac:dyDescent="0.35">
      <c r="A375" s="2">
        <v>10374</v>
      </c>
      <c r="B375" s="2">
        <v>1036</v>
      </c>
      <c r="C375" s="2" t="s">
        <v>30</v>
      </c>
      <c r="D375" s="2" t="s">
        <v>13</v>
      </c>
      <c r="E375" s="2" t="s">
        <v>14</v>
      </c>
      <c r="F375" s="2" t="s">
        <v>34</v>
      </c>
      <c r="G375" s="2" t="s">
        <v>42</v>
      </c>
      <c r="H375" s="2" t="s">
        <v>27</v>
      </c>
      <c r="I375" s="2">
        <v>5</v>
      </c>
      <c r="J375" s="2">
        <v>1651.11</v>
      </c>
      <c r="K375" s="2">
        <v>20</v>
      </c>
      <c r="L375" s="2">
        <v>6604.44</v>
      </c>
    </row>
    <row r="376" spans="1:12" x14ac:dyDescent="0.35">
      <c r="A376" s="2">
        <v>10375</v>
      </c>
      <c r="B376" s="2">
        <v>1159</v>
      </c>
      <c r="C376" s="2" t="s">
        <v>32</v>
      </c>
      <c r="D376" s="2" t="s">
        <v>19</v>
      </c>
      <c r="E376" s="2" t="s">
        <v>14</v>
      </c>
      <c r="F376" s="2" t="s">
        <v>29</v>
      </c>
      <c r="G376" s="2" t="s">
        <v>40</v>
      </c>
      <c r="H376" s="2" t="s">
        <v>36</v>
      </c>
      <c r="I376" s="2">
        <v>3</v>
      </c>
      <c r="J376" s="2">
        <v>1998.18</v>
      </c>
      <c r="K376" s="2">
        <v>5</v>
      </c>
      <c r="L376" s="2">
        <v>5694.81</v>
      </c>
    </row>
    <row r="377" spans="1:12" x14ac:dyDescent="0.35">
      <c r="A377" s="2">
        <v>10376</v>
      </c>
      <c r="B377" s="2">
        <v>1008</v>
      </c>
      <c r="C377" s="2" t="s">
        <v>30</v>
      </c>
      <c r="D377" s="2" t="s">
        <v>41</v>
      </c>
      <c r="E377" s="2" t="s">
        <v>25</v>
      </c>
      <c r="F377" s="2" t="s">
        <v>15</v>
      </c>
      <c r="G377" s="2" t="s">
        <v>42</v>
      </c>
      <c r="H377" s="2" t="s">
        <v>36</v>
      </c>
      <c r="I377" s="2">
        <v>6</v>
      </c>
      <c r="J377" s="2">
        <v>681.36</v>
      </c>
      <c r="K377" s="2">
        <v>15</v>
      </c>
      <c r="L377" s="2">
        <v>3474.94</v>
      </c>
    </row>
    <row r="378" spans="1:12" x14ac:dyDescent="0.35">
      <c r="A378" s="2">
        <v>10377</v>
      </c>
      <c r="B378" s="2">
        <v>1232</v>
      </c>
      <c r="C378" s="2" t="s">
        <v>18</v>
      </c>
      <c r="D378" s="2" t="s">
        <v>19</v>
      </c>
      <c r="E378" s="2" t="s">
        <v>20</v>
      </c>
      <c r="F378" s="2" t="s">
        <v>21</v>
      </c>
      <c r="G378" s="2" t="s">
        <v>40</v>
      </c>
      <c r="H378" s="2" t="s">
        <v>38</v>
      </c>
      <c r="I378" s="2">
        <v>8</v>
      </c>
      <c r="J378" s="2">
        <v>462</v>
      </c>
      <c r="K378" s="2">
        <v>5</v>
      </c>
      <c r="L378" s="2">
        <v>3511.2</v>
      </c>
    </row>
    <row r="379" spans="1:12" x14ac:dyDescent="0.35">
      <c r="A379" s="2">
        <v>10378</v>
      </c>
      <c r="B379" s="2">
        <v>1098</v>
      </c>
      <c r="C379" s="2" t="s">
        <v>32</v>
      </c>
      <c r="D379" s="2" t="s">
        <v>19</v>
      </c>
      <c r="E379" s="2" t="s">
        <v>14</v>
      </c>
      <c r="F379" s="2" t="s">
        <v>29</v>
      </c>
      <c r="G379" s="2" t="s">
        <v>40</v>
      </c>
      <c r="H379" s="2" t="s">
        <v>23</v>
      </c>
      <c r="I379" s="2">
        <v>9</v>
      </c>
      <c r="J379" s="2">
        <v>3344.43</v>
      </c>
      <c r="K379" s="2">
        <v>10</v>
      </c>
      <c r="L379" s="2">
        <v>27089.88</v>
      </c>
    </row>
    <row r="380" spans="1:12" x14ac:dyDescent="0.35">
      <c r="A380" s="2">
        <v>10379</v>
      </c>
      <c r="B380" s="2">
        <v>1658</v>
      </c>
      <c r="C380" s="2" t="s">
        <v>12</v>
      </c>
      <c r="D380" s="2" t="s">
        <v>13</v>
      </c>
      <c r="E380" s="2" t="s">
        <v>20</v>
      </c>
      <c r="F380" s="2" t="s">
        <v>29</v>
      </c>
      <c r="G380" s="2" t="s">
        <v>22</v>
      </c>
      <c r="H380" s="2" t="s">
        <v>36</v>
      </c>
      <c r="I380" s="2">
        <v>1</v>
      </c>
      <c r="J380" s="2">
        <v>3910.66</v>
      </c>
      <c r="K380" s="2">
        <v>5</v>
      </c>
      <c r="L380" s="2">
        <v>3715.13</v>
      </c>
    </row>
    <row r="381" spans="1:12" x14ac:dyDescent="0.35">
      <c r="A381" s="2">
        <v>10380</v>
      </c>
      <c r="B381" s="2">
        <v>1815</v>
      </c>
      <c r="C381" s="2" t="s">
        <v>30</v>
      </c>
      <c r="D381" s="2" t="s">
        <v>13</v>
      </c>
      <c r="E381" s="2" t="s">
        <v>14</v>
      </c>
      <c r="F381" s="2" t="s">
        <v>34</v>
      </c>
      <c r="G381" s="2" t="s">
        <v>16</v>
      </c>
      <c r="H381" s="2" t="s">
        <v>27</v>
      </c>
      <c r="I381" s="2">
        <v>3</v>
      </c>
      <c r="J381" s="2">
        <v>1708.19</v>
      </c>
      <c r="K381" s="2">
        <v>10</v>
      </c>
      <c r="L381" s="2">
        <v>4612.1099999999997</v>
      </c>
    </row>
    <row r="382" spans="1:12" x14ac:dyDescent="0.35">
      <c r="A382" s="2">
        <v>10381</v>
      </c>
      <c r="B382" s="2">
        <v>1207</v>
      </c>
      <c r="C382" s="2" t="s">
        <v>13</v>
      </c>
      <c r="D382" s="2" t="s">
        <v>19</v>
      </c>
      <c r="E382" s="2" t="s">
        <v>20</v>
      </c>
      <c r="F382" s="2" t="s">
        <v>35</v>
      </c>
      <c r="G382" s="2" t="s">
        <v>40</v>
      </c>
      <c r="H382" s="2" t="s">
        <v>38</v>
      </c>
      <c r="I382" s="2">
        <v>3</v>
      </c>
      <c r="J382" s="2">
        <v>487.45</v>
      </c>
      <c r="K382" s="2">
        <v>5</v>
      </c>
      <c r="L382" s="2">
        <v>1389.23</v>
      </c>
    </row>
    <row r="383" spans="1:12" x14ac:dyDescent="0.35">
      <c r="A383" s="2">
        <v>10382</v>
      </c>
      <c r="B383" s="2">
        <v>1130</v>
      </c>
      <c r="C383" s="2" t="s">
        <v>13</v>
      </c>
      <c r="D383" s="2" t="s">
        <v>19</v>
      </c>
      <c r="E383" s="2" t="s">
        <v>25</v>
      </c>
      <c r="F383" s="2" t="s">
        <v>35</v>
      </c>
      <c r="G383" s="2" t="s">
        <v>22</v>
      </c>
      <c r="H383" s="2" t="s">
        <v>38</v>
      </c>
      <c r="I383" s="2">
        <v>8</v>
      </c>
      <c r="J383" s="2">
        <v>403.38</v>
      </c>
      <c r="K383" s="2">
        <v>10</v>
      </c>
      <c r="L383" s="2">
        <v>2904.34</v>
      </c>
    </row>
    <row r="384" spans="1:12" x14ac:dyDescent="0.35">
      <c r="A384" s="2">
        <v>10383</v>
      </c>
      <c r="B384" s="2">
        <v>1403</v>
      </c>
      <c r="C384" s="2" t="s">
        <v>30</v>
      </c>
      <c r="D384" s="2" t="s">
        <v>19</v>
      </c>
      <c r="E384" s="2" t="s">
        <v>20</v>
      </c>
      <c r="F384" s="2" t="s">
        <v>34</v>
      </c>
      <c r="G384" s="2" t="s">
        <v>26</v>
      </c>
      <c r="H384" s="2" t="s">
        <v>27</v>
      </c>
      <c r="I384" s="2">
        <v>1</v>
      </c>
      <c r="J384" s="2">
        <v>3581.58</v>
      </c>
      <c r="K384" s="2">
        <v>15</v>
      </c>
      <c r="L384" s="2">
        <v>3044.34</v>
      </c>
    </row>
    <row r="385" spans="1:12" x14ac:dyDescent="0.35">
      <c r="A385" s="2">
        <v>10384</v>
      </c>
      <c r="B385" s="2">
        <v>1151</v>
      </c>
      <c r="C385" s="2" t="s">
        <v>18</v>
      </c>
      <c r="D385" s="2" t="s">
        <v>13</v>
      </c>
      <c r="E385" s="2" t="s">
        <v>20</v>
      </c>
      <c r="F385" s="2" t="s">
        <v>34</v>
      </c>
      <c r="G385" s="2" t="s">
        <v>16</v>
      </c>
      <c r="H385" s="2" t="s">
        <v>23</v>
      </c>
      <c r="I385" s="2">
        <v>5</v>
      </c>
      <c r="J385" s="2">
        <v>1935.68</v>
      </c>
      <c r="K385" s="2">
        <v>20</v>
      </c>
      <c r="L385" s="2">
        <v>7742.72</v>
      </c>
    </row>
    <row r="386" spans="1:12" x14ac:dyDescent="0.35">
      <c r="A386" s="2">
        <v>10385</v>
      </c>
      <c r="B386" s="2">
        <v>1053</v>
      </c>
      <c r="C386" s="2" t="s">
        <v>13</v>
      </c>
      <c r="D386" s="2" t="s">
        <v>19</v>
      </c>
      <c r="E386" s="2" t="s">
        <v>20</v>
      </c>
      <c r="F386" s="2" t="s">
        <v>34</v>
      </c>
      <c r="G386" s="2" t="s">
        <v>40</v>
      </c>
      <c r="H386" s="2" t="s">
        <v>27</v>
      </c>
      <c r="I386" s="2">
        <v>3</v>
      </c>
      <c r="J386" s="2">
        <v>1382.11</v>
      </c>
      <c r="K386" s="2">
        <v>10</v>
      </c>
      <c r="L386" s="2">
        <v>3731.7</v>
      </c>
    </row>
    <row r="387" spans="1:12" x14ac:dyDescent="0.35">
      <c r="A387" s="2">
        <v>10386</v>
      </c>
      <c r="B387" s="2">
        <v>1119</v>
      </c>
      <c r="C387" s="2" t="s">
        <v>12</v>
      </c>
      <c r="D387" s="2" t="s">
        <v>19</v>
      </c>
      <c r="E387" s="2" t="s">
        <v>20</v>
      </c>
      <c r="F387" s="2" t="s">
        <v>35</v>
      </c>
      <c r="G387" s="2" t="s">
        <v>39</v>
      </c>
      <c r="H387" s="2" t="s">
        <v>23</v>
      </c>
      <c r="I387" s="2">
        <v>2</v>
      </c>
      <c r="J387" s="2">
        <v>1984.38</v>
      </c>
      <c r="K387" s="2">
        <v>10</v>
      </c>
      <c r="L387" s="2">
        <v>3571.88</v>
      </c>
    </row>
    <row r="388" spans="1:12" x14ac:dyDescent="0.35">
      <c r="A388" s="2">
        <v>10387</v>
      </c>
      <c r="B388" s="2">
        <v>1672</v>
      </c>
      <c r="C388" s="2" t="s">
        <v>37</v>
      </c>
      <c r="D388" s="2" t="s">
        <v>24</v>
      </c>
      <c r="E388" s="2" t="s">
        <v>20</v>
      </c>
      <c r="F388" s="2" t="s">
        <v>34</v>
      </c>
      <c r="G388" s="2" t="s">
        <v>26</v>
      </c>
      <c r="H388" s="2" t="s">
        <v>27</v>
      </c>
      <c r="I388" s="2">
        <v>8</v>
      </c>
      <c r="J388" s="2">
        <v>1375.47</v>
      </c>
      <c r="K388" s="2">
        <v>15</v>
      </c>
      <c r="L388" s="2">
        <v>9353.2000000000007</v>
      </c>
    </row>
    <row r="389" spans="1:12" x14ac:dyDescent="0.35">
      <c r="A389" s="2">
        <v>10388</v>
      </c>
      <c r="B389" s="2">
        <v>1919</v>
      </c>
      <c r="C389" s="2" t="s">
        <v>18</v>
      </c>
      <c r="D389" s="2" t="s">
        <v>41</v>
      </c>
      <c r="E389" s="2" t="s">
        <v>25</v>
      </c>
      <c r="F389" s="2" t="s">
        <v>15</v>
      </c>
      <c r="G389" s="2" t="s">
        <v>26</v>
      </c>
      <c r="H389" s="2" t="s">
        <v>27</v>
      </c>
      <c r="I389" s="2">
        <v>3</v>
      </c>
      <c r="J389" s="2">
        <v>2032.79</v>
      </c>
      <c r="K389" s="2">
        <v>10</v>
      </c>
      <c r="L389" s="2">
        <v>5488.53</v>
      </c>
    </row>
    <row r="390" spans="1:12" x14ac:dyDescent="0.35">
      <c r="A390" s="2">
        <v>10389</v>
      </c>
      <c r="B390" s="2">
        <v>1627</v>
      </c>
      <c r="C390" s="2" t="s">
        <v>12</v>
      </c>
      <c r="D390" s="2" t="s">
        <v>31</v>
      </c>
      <c r="E390" s="2" t="s">
        <v>14</v>
      </c>
      <c r="F390" s="2" t="s">
        <v>29</v>
      </c>
      <c r="G390" s="2" t="s">
        <v>22</v>
      </c>
      <c r="H390" s="2" t="s">
        <v>17</v>
      </c>
      <c r="I390" s="2">
        <v>7</v>
      </c>
      <c r="J390" s="2">
        <v>3459.29</v>
      </c>
      <c r="K390" s="2">
        <v>0</v>
      </c>
      <c r="L390" s="2">
        <v>24215.03</v>
      </c>
    </row>
    <row r="391" spans="1:12" x14ac:dyDescent="0.35">
      <c r="A391" s="2">
        <v>10390</v>
      </c>
      <c r="B391" s="2">
        <v>1586</v>
      </c>
      <c r="C391" s="2" t="s">
        <v>32</v>
      </c>
      <c r="D391" s="2" t="s">
        <v>41</v>
      </c>
      <c r="E391" s="2" t="s">
        <v>20</v>
      </c>
      <c r="F391" s="2" t="s">
        <v>29</v>
      </c>
      <c r="G391" s="2" t="s">
        <v>26</v>
      </c>
      <c r="H391" s="2" t="s">
        <v>38</v>
      </c>
      <c r="I391" s="2">
        <v>1</v>
      </c>
      <c r="J391" s="2">
        <v>2430.36</v>
      </c>
      <c r="K391" s="2">
        <v>15</v>
      </c>
      <c r="L391" s="2">
        <v>2065.81</v>
      </c>
    </row>
    <row r="392" spans="1:12" x14ac:dyDescent="0.35">
      <c r="A392" s="2">
        <v>10391</v>
      </c>
      <c r="B392" s="2">
        <v>1624</v>
      </c>
      <c r="C392" s="2" t="s">
        <v>12</v>
      </c>
      <c r="D392" s="2" t="s">
        <v>24</v>
      </c>
      <c r="E392" s="2" t="s">
        <v>25</v>
      </c>
      <c r="F392" s="2" t="s">
        <v>21</v>
      </c>
      <c r="G392" s="2" t="s">
        <v>16</v>
      </c>
      <c r="H392" s="2" t="s">
        <v>27</v>
      </c>
      <c r="I392" s="2">
        <v>6</v>
      </c>
      <c r="J392" s="2">
        <v>2824.42</v>
      </c>
      <c r="K392" s="2">
        <v>0</v>
      </c>
      <c r="L392" s="2">
        <v>16946.52</v>
      </c>
    </row>
    <row r="393" spans="1:12" x14ac:dyDescent="0.35">
      <c r="A393" s="2">
        <v>10392</v>
      </c>
      <c r="B393" s="2">
        <v>1967</v>
      </c>
      <c r="C393" s="2" t="s">
        <v>18</v>
      </c>
      <c r="D393" s="2" t="s">
        <v>31</v>
      </c>
      <c r="E393" s="2" t="s">
        <v>20</v>
      </c>
      <c r="F393" s="2" t="s">
        <v>21</v>
      </c>
      <c r="G393" s="2" t="s">
        <v>40</v>
      </c>
      <c r="H393" s="2" t="s">
        <v>27</v>
      </c>
      <c r="I393" s="2">
        <v>3</v>
      </c>
      <c r="J393" s="2">
        <v>1553.98</v>
      </c>
      <c r="K393" s="2">
        <v>15</v>
      </c>
      <c r="L393" s="2">
        <v>3962.65</v>
      </c>
    </row>
    <row r="394" spans="1:12" x14ac:dyDescent="0.35">
      <c r="A394" s="2">
        <v>10393</v>
      </c>
      <c r="B394" s="2">
        <v>1419</v>
      </c>
      <c r="C394" s="2" t="s">
        <v>32</v>
      </c>
      <c r="D394" s="2" t="s">
        <v>19</v>
      </c>
      <c r="E394" s="2" t="s">
        <v>20</v>
      </c>
      <c r="F394" s="2" t="s">
        <v>29</v>
      </c>
      <c r="G394" s="2" t="s">
        <v>40</v>
      </c>
      <c r="H394" s="2" t="s">
        <v>36</v>
      </c>
      <c r="I394" s="2">
        <v>8</v>
      </c>
      <c r="J394" s="2">
        <v>2993.25</v>
      </c>
      <c r="K394" s="2">
        <v>10</v>
      </c>
      <c r="L394" s="2">
        <v>21551.4</v>
      </c>
    </row>
    <row r="395" spans="1:12" x14ac:dyDescent="0.35">
      <c r="A395" s="2">
        <v>10394</v>
      </c>
      <c r="B395" s="2">
        <v>1421</v>
      </c>
      <c r="C395" s="2" t="s">
        <v>18</v>
      </c>
      <c r="D395" s="2" t="s">
        <v>24</v>
      </c>
      <c r="E395" s="2" t="s">
        <v>14</v>
      </c>
      <c r="F395" s="2" t="s">
        <v>15</v>
      </c>
      <c r="G395" s="2" t="s">
        <v>39</v>
      </c>
      <c r="H395" s="2" t="s">
        <v>38</v>
      </c>
      <c r="I395" s="2">
        <v>6</v>
      </c>
      <c r="J395" s="2">
        <v>2716.48</v>
      </c>
      <c r="K395" s="2">
        <v>0</v>
      </c>
      <c r="L395" s="2">
        <v>16298.88</v>
      </c>
    </row>
    <row r="396" spans="1:12" x14ac:dyDescent="0.35">
      <c r="A396" s="2">
        <v>10395</v>
      </c>
      <c r="B396" s="2">
        <v>1103</v>
      </c>
      <c r="C396" s="2" t="s">
        <v>13</v>
      </c>
      <c r="D396" s="2" t="s">
        <v>19</v>
      </c>
      <c r="E396" s="2" t="s">
        <v>20</v>
      </c>
      <c r="F396" s="2" t="s">
        <v>35</v>
      </c>
      <c r="G396" s="2" t="s">
        <v>22</v>
      </c>
      <c r="H396" s="2" t="s">
        <v>36</v>
      </c>
      <c r="I396" s="2">
        <v>2</v>
      </c>
      <c r="J396" s="2">
        <v>610.30999999999995</v>
      </c>
      <c r="K396" s="2">
        <v>10</v>
      </c>
      <c r="L396" s="2">
        <v>1098.56</v>
      </c>
    </row>
    <row r="397" spans="1:12" x14ac:dyDescent="0.35">
      <c r="A397" s="2">
        <v>10396</v>
      </c>
      <c r="B397" s="2">
        <v>1851</v>
      </c>
      <c r="C397" s="2" t="s">
        <v>37</v>
      </c>
      <c r="D397" s="2" t="s">
        <v>13</v>
      </c>
      <c r="E397" s="2" t="s">
        <v>25</v>
      </c>
      <c r="F397" s="2" t="s">
        <v>35</v>
      </c>
      <c r="G397" s="2" t="s">
        <v>39</v>
      </c>
      <c r="H397" s="2" t="s">
        <v>38</v>
      </c>
      <c r="I397" s="2">
        <v>6</v>
      </c>
      <c r="J397" s="2">
        <v>2354.67</v>
      </c>
      <c r="K397" s="2">
        <v>15</v>
      </c>
      <c r="L397" s="2">
        <v>12008.82</v>
      </c>
    </row>
    <row r="398" spans="1:12" x14ac:dyDescent="0.35">
      <c r="A398" s="2">
        <v>10397</v>
      </c>
      <c r="B398" s="2">
        <v>1253</v>
      </c>
      <c r="C398" s="2" t="s">
        <v>18</v>
      </c>
      <c r="D398" s="2" t="s">
        <v>33</v>
      </c>
      <c r="E398" s="2" t="s">
        <v>25</v>
      </c>
      <c r="F398" s="2" t="s">
        <v>15</v>
      </c>
      <c r="G398" s="2" t="s">
        <v>26</v>
      </c>
      <c r="H398" s="2" t="s">
        <v>36</v>
      </c>
      <c r="I398" s="2">
        <v>7</v>
      </c>
      <c r="J398" s="2">
        <v>1138.46</v>
      </c>
      <c r="K398" s="2">
        <v>10</v>
      </c>
      <c r="L398" s="2">
        <v>7172.3</v>
      </c>
    </row>
    <row r="399" spans="1:12" x14ac:dyDescent="0.35">
      <c r="A399" s="2">
        <v>10398</v>
      </c>
      <c r="B399" s="2">
        <v>1226</v>
      </c>
      <c r="C399" s="2" t="s">
        <v>18</v>
      </c>
      <c r="D399" s="2" t="s">
        <v>24</v>
      </c>
      <c r="E399" s="2" t="s">
        <v>14</v>
      </c>
      <c r="F399" s="2" t="s">
        <v>35</v>
      </c>
      <c r="G399" s="2" t="s">
        <v>39</v>
      </c>
      <c r="H399" s="2" t="s">
        <v>27</v>
      </c>
      <c r="I399" s="2">
        <v>5</v>
      </c>
      <c r="J399" s="2">
        <v>3245.77</v>
      </c>
      <c r="K399" s="2">
        <v>0</v>
      </c>
      <c r="L399" s="2">
        <v>16228.85</v>
      </c>
    </row>
    <row r="400" spans="1:12" x14ac:dyDescent="0.35">
      <c r="A400" s="2">
        <v>10399</v>
      </c>
      <c r="B400" s="2">
        <v>1111</v>
      </c>
      <c r="C400" s="2" t="s">
        <v>13</v>
      </c>
      <c r="D400" s="2" t="s">
        <v>13</v>
      </c>
      <c r="E400" s="2" t="s">
        <v>20</v>
      </c>
      <c r="F400" s="2" t="s">
        <v>34</v>
      </c>
      <c r="G400" s="2" t="s">
        <v>16</v>
      </c>
      <c r="H400" s="2" t="s">
        <v>27</v>
      </c>
      <c r="I400" s="2">
        <v>3</v>
      </c>
      <c r="J400" s="2">
        <v>1789.86</v>
      </c>
      <c r="K400" s="2">
        <v>0</v>
      </c>
      <c r="L400" s="2">
        <v>5369.58</v>
      </c>
    </row>
    <row r="401" spans="1:12" x14ac:dyDescent="0.35">
      <c r="A401" s="2">
        <v>10400</v>
      </c>
      <c r="B401" s="2">
        <v>1509</v>
      </c>
      <c r="C401" s="2" t="s">
        <v>28</v>
      </c>
      <c r="D401" s="2" t="s">
        <v>24</v>
      </c>
      <c r="E401" s="2" t="s">
        <v>25</v>
      </c>
      <c r="F401" s="2" t="s">
        <v>29</v>
      </c>
      <c r="G401" s="2" t="s">
        <v>40</v>
      </c>
      <c r="H401" s="2" t="s">
        <v>17</v>
      </c>
      <c r="I401" s="2">
        <v>4</v>
      </c>
      <c r="J401" s="2">
        <v>3979.53</v>
      </c>
      <c r="K401" s="2">
        <v>10</v>
      </c>
      <c r="L401" s="2">
        <v>14326.31</v>
      </c>
    </row>
    <row r="402" spans="1:12" x14ac:dyDescent="0.35">
      <c r="A402" s="2">
        <v>10401</v>
      </c>
      <c r="B402" s="2">
        <v>1472</v>
      </c>
      <c r="C402" s="2" t="s">
        <v>13</v>
      </c>
      <c r="D402" s="2" t="s">
        <v>24</v>
      </c>
      <c r="E402" s="2" t="s">
        <v>20</v>
      </c>
      <c r="F402" s="2" t="s">
        <v>29</v>
      </c>
      <c r="G402" s="2" t="s">
        <v>26</v>
      </c>
      <c r="H402" s="2" t="s">
        <v>36</v>
      </c>
      <c r="I402" s="2">
        <v>4</v>
      </c>
      <c r="J402" s="2">
        <v>506.13</v>
      </c>
      <c r="K402" s="2">
        <v>5</v>
      </c>
      <c r="L402" s="2">
        <v>1923.29</v>
      </c>
    </row>
    <row r="403" spans="1:12" x14ac:dyDescent="0.35">
      <c r="A403" s="2">
        <v>10402</v>
      </c>
      <c r="B403" s="2">
        <v>1098</v>
      </c>
      <c r="C403" s="2" t="s">
        <v>32</v>
      </c>
      <c r="D403" s="2" t="s">
        <v>13</v>
      </c>
      <c r="E403" s="2" t="s">
        <v>20</v>
      </c>
      <c r="F403" s="2" t="s">
        <v>15</v>
      </c>
      <c r="G403" s="2" t="s">
        <v>39</v>
      </c>
      <c r="H403" s="2" t="s">
        <v>23</v>
      </c>
      <c r="I403" s="2">
        <v>6</v>
      </c>
      <c r="J403" s="2">
        <v>3154.34</v>
      </c>
      <c r="K403" s="2">
        <v>15</v>
      </c>
      <c r="L403" s="2">
        <v>16087.13</v>
      </c>
    </row>
    <row r="404" spans="1:12" x14ac:dyDescent="0.35">
      <c r="A404" s="2">
        <v>10403</v>
      </c>
      <c r="B404" s="2">
        <v>1152</v>
      </c>
      <c r="C404" s="2" t="s">
        <v>13</v>
      </c>
      <c r="D404" s="2" t="s">
        <v>31</v>
      </c>
      <c r="E404" s="2" t="s">
        <v>20</v>
      </c>
      <c r="F404" s="2" t="s">
        <v>35</v>
      </c>
      <c r="G404" s="2" t="s">
        <v>22</v>
      </c>
      <c r="H404" s="2" t="s">
        <v>17</v>
      </c>
      <c r="I404" s="2">
        <v>1</v>
      </c>
      <c r="J404" s="2">
        <v>2743.75</v>
      </c>
      <c r="K404" s="2">
        <v>15</v>
      </c>
      <c r="L404" s="2">
        <v>2332.19</v>
      </c>
    </row>
    <row r="405" spans="1:12" x14ac:dyDescent="0.35">
      <c r="A405" s="2">
        <v>10404</v>
      </c>
      <c r="B405" s="2">
        <v>1860</v>
      </c>
      <c r="C405" s="2" t="s">
        <v>13</v>
      </c>
      <c r="D405" s="2" t="s">
        <v>41</v>
      </c>
      <c r="E405" s="2" t="s">
        <v>14</v>
      </c>
      <c r="F405" s="2" t="s">
        <v>21</v>
      </c>
      <c r="G405" s="2" t="s">
        <v>16</v>
      </c>
      <c r="H405" s="2" t="s">
        <v>36</v>
      </c>
      <c r="I405" s="2">
        <v>4</v>
      </c>
      <c r="J405" s="2">
        <v>3104.87</v>
      </c>
      <c r="K405" s="2">
        <v>10</v>
      </c>
      <c r="L405" s="2">
        <v>11177.53</v>
      </c>
    </row>
    <row r="406" spans="1:12" x14ac:dyDescent="0.35">
      <c r="A406" s="2">
        <v>10405</v>
      </c>
      <c r="B406" s="2">
        <v>1913</v>
      </c>
      <c r="C406" s="2" t="s">
        <v>37</v>
      </c>
      <c r="D406" s="2" t="s">
        <v>19</v>
      </c>
      <c r="E406" s="2" t="s">
        <v>20</v>
      </c>
      <c r="F406" s="2" t="s">
        <v>21</v>
      </c>
      <c r="G406" s="2" t="s">
        <v>16</v>
      </c>
      <c r="H406" s="2" t="s">
        <v>36</v>
      </c>
      <c r="I406" s="2">
        <v>4</v>
      </c>
      <c r="J406" s="2">
        <v>1333.99</v>
      </c>
      <c r="K406" s="2">
        <v>5</v>
      </c>
      <c r="L406" s="2">
        <v>5069.16</v>
      </c>
    </row>
    <row r="407" spans="1:12" x14ac:dyDescent="0.35">
      <c r="A407" s="2">
        <v>10406</v>
      </c>
      <c r="B407" s="2">
        <v>1895</v>
      </c>
      <c r="C407" s="2" t="s">
        <v>13</v>
      </c>
      <c r="D407" s="2" t="s">
        <v>24</v>
      </c>
      <c r="E407" s="2" t="s">
        <v>25</v>
      </c>
      <c r="F407" s="2" t="s">
        <v>35</v>
      </c>
      <c r="G407" s="2" t="s">
        <v>39</v>
      </c>
      <c r="H407" s="2" t="s">
        <v>17</v>
      </c>
      <c r="I407" s="2">
        <v>1</v>
      </c>
      <c r="J407" s="2">
        <v>2044.41</v>
      </c>
      <c r="K407" s="2">
        <v>0</v>
      </c>
      <c r="L407" s="2">
        <v>2044.41</v>
      </c>
    </row>
    <row r="408" spans="1:12" x14ac:dyDescent="0.35">
      <c r="A408" s="2">
        <v>10407</v>
      </c>
      <c r="B408" s="2">
        <v>1877</v>
      </c>
      <c r="C408" s="2" t="s">
        <v>18</v>
      </c>
      <c r="D408" s="2" t="s">
        <v>19</v>
      </c>
      <c r="E408" s="2" t="s">
        <v>20</v>
      </c>
      <c r="F408" s="2" t="s">
        <v>21</v>
      </c>
      <c r="G408" s="2" t="s">
        <v>40</v>
      </c>
      <c r="H408" s="2" t="s">
        <v>27</v>
      </c>
      <c r="I408" s="2">
        <v>9</v>
      </c>
      <c r="J408" s="2">
        <v>3216.56</v>
      </c>
      <c r="K408" s="2">
        <v>20</v>
      </c>
      <c r="L408" s="2">
        <v>23159.23</v>
      </c>
    </row>
    <row r="409" spans="1:12" x14ac:dyDescent="0.35">
      <c r="A409" s="2">
        <v>10408</v>
      </c>
      <c r="B409" s="2">
        <v>1337</v>
      </c>
      <c r="C409" s="2" t="s">
        <v>37</v>
      </c>
      <c r="D409" s="2" t="s">
        <v>33</v>
      </c>
      <c r="E409" s="2" t="s">
        <v>25</v>
      </c>
      <c r="F409" s="2" t="s">
        <v>15</v>
      </c>
      <c r="G409" s="2" t="s">
        <v>39</v>
      </c>
      <c r="H409" s="2" t="s">
        <v>36</v>
      </c>
      <c r="I409" s="2">
        <v>4</v>
      </c>
      <c r="J409" s="2">
        <v>1045.28</v>
      </c>
      <c r="K409" s="2">
        <v>20</v>
      </c>
      <c r="L409" s="2">
        <v>3344.9</v>
      </c>
    </row>
    <row r="410" spans="1:12" x14ac:dyDescent="0.35">
      <c r="A410" s="2">
        <v>10409</v>
      </c>
      <c r="B410" s="2">
        <v>1705</v>
      </c>
      <c r="C410" s="2" t="s">
        <v>30</v>
      </c>
      <c r="D410" s="2" t="s">
        <v>13</v>
      </c>
      <c r="E410" s="2" t="s">
        <v>20</v>
      </c>
      <c r="F410" s="2" t="s">
        <v>15</v>
      </c>
      <c r="G410" s="2" t="s">
        <v>26</v>
      </c>
      <c r="H410" s="2" t="s">
        <v>27</v>
      </c>
      <c r="I410" s="2">
        <v>7</v>
      </c>
      <c r="J410" s="2">
        <v>1020.23</v>
      </c>
      <c r="K410" s="2">
        <v>10</v>
      </c>
      <c r="L410" s="2">
        <v>6427.45</v>
      </c>
    </row>
    <row r="411" spans="1:12" x14ac:dyDescent="0.35">
      <c r="A411" s="2">
        <v>10410</v>
      </c>
      <c r="B411" s="2">
        <v>1821</v>
      </c>
      <c r="C411" s="2" t="s">
        <v>28</v>
      </c>
      <c r="D411" s="2" t="s">
        <v>19</v>
      </c>
      <c r="E411" s="2" t="s">
        <v>25</v>
      </c>
      <c r="F411" s="2" t="s">
        <v>35</v>
      </c>
      <c r="G411" s="2" t="s">
        <v>39</v>
      </c>
      <c r="H411" s="2" t="s">
        <v>17</v>
      </c>
      <c r="I411" s="2">
        <v>3</v>
      </c>
      <c r="J411" s="2">
        <v>2271.5500000000002</v>
      </c>
      <c r="K411" s="2">
        <v>5</v>
      </c>
      <c r="L411" s="2">
        <v>6473.92</v>
      </c>
    </row>
    <row r="412" spans="1:12" x14ac:dyDescent="0.35">
      <c r="A412" s="2">
        <v>10411</v>
      </c>
      <c r="B412" s="2">
        <v>1162</v>
      </c>
      <c r="C412" s="2" t="s">
        <v>37</v>
      </c>
      <c r="D412" s="2" t="s">
        <v>13</v>
      </c>
      <c r="E412" s="2" t="s">
        <v>25</v>
      </c>
      <c r="F412" s="2" t="s">
        <v>21</v>
      </c>
      <c r="G412" s="2" t="s">
        <v>16</v>
      </c>
      <c r="H412" s="2" t="s">
        <v>27</v>
      </c>
      <c r="I412" s="2">
        <v>3</v>
      </c>
      <c r="J412" s="2">
        <v>2165.7199999999998</v>
      </c>
      <c r="K412" s="2">
        <v>5</v>
      </c>
      <c r="L412" s="2">
        <v>6172.3</v>
      </c>
    </row>
    <row r="413" spans="1:12" x14ac:dyDescent="0.35">
      <c r="A413" s="2">
        <v>10412</v>
      </c>
      <c r="B413" s="2">
        <v>1719</v>
      </c>
      <c r="C413" s="2" t="s">
        <v>32</v>
      </c>
      <c r="D413" s="2" t="s">
        <v>19</v>
      </c>
      <c r="E413" s="2" t="s">
        <v>20</v>
      </c>
      <c r="F413" s="2" t="s">
        <v>15</v>
      </c>
      <c r="G413" s="2" t="s">
        <v>39</v>
      </c>
      <c r="H413" s="2" t="s">
        <v>38</v>
      </c>
      <c r="I413" s="2">
        <v>8</v>
      </c>
      <c r="J413" s="2">
        <v>1236.71</v>
      </c>
      <c r="K413" s="2">
        <v>15</v>
      </c>
      <c r="L413" s="2">
        <v>8409.6299999999992</v>
      </c>
    </row>
    <row r="414" spans="1:12" x14ac:dyDescent="0.35">
      <c r="A414" s="2">
        <v>10413</v>
      </c>
      <c r="B414" s="2">
        <v>1956</v>
      </c>
      <c r="C414" s="2" t="s">
        <v>30</v>
      </c>
      <c r="D414" s="2" t="s">
        <v>41</v>
      </c>
      <c r="E414" s="2" t="s">
        <v>20</v>
      </c>
      <c r="F414" s="2" t="s">
        <v>15</v>
      </c>
      <c r="G414" s="2" t="s">
        <v>40</v>
      </c>
      <c r="H414" s="2" t="s">
        <v>23</v>
      </c>
      <c r="I414" s="2">
        <v>8</v>
      </c>
      <c r="J414" s="2">
        <v>1297.5899999999999</v>
      </c>
      <c r="K414" s="2">
        <v>0</v>
      </c>
      <c r="L414" s="2">
        <v>10380.719999999999</v>
      </c>
    </row>
    <row r="415" spans="1:12" x14ac:dyDescent="0.35">
      <c r="A415" s="2">
        <v>10414</v>
      </c>
      <c r="B415" s="2">
        <v>1680</v>
      </c>
      <c r="C415" s="2" t="s">
        <v>37</v>
      </c>
      <c r="D415" s="2" t="s">
        <v>41</v>
      </c>
      <c r="E415" s="2" t="s">
        <v>25</v>
      </c>
      <c r="F415" s="2" t="s">
        <v>34</v>
      </c>
      <c r="G415" s="2" t="s">
        <v>22</v>
      </c>
      <c r="H415" s="2" t="s">
        <v>36</v>
      </c>
      <c r="I415" s="2">
        <v>1</v>
      </c>
      <c r="J415" s="2">
        <v>1219.7</v>
      </c>
      <c r="K415" s="2">
        <v>5</v>
      </c>
      <c r="L415" s="2">
        <v>1158.71</v>
      </c>
    </row>
    <row r="416" spans="1:12" x14ac:dyDescent="0.35">
      <c r="A416" s="2">
        <v>10415</v>
      </c>
      <c r="B416" s="2">
        <v>1995</v>
      </c>
      <c r="C416" s="2" t="s">
        <v>37</v>
      </c>
      <c r="D416" s="2" t="s">
        <v>41</v>
      </c>
      <c r="E416" s="2" t="s">
        <v>14</v>
      </c>
      <c r="F416" s="2" t="s">
        <v>34</v>
      </c>
      <c r="G416" s="2" t="s">
        <v>42</v>
      </c>
      <c r="H416" s="2" t="s">
        <v>23</v>
      </c>
      <c r="I416" s="2">
        <v>2</v>
      </c>
      <c r="J416" s="2">
        <v>3120.32</v>
      </c>
      <c r="K416" s="2">
        <v>20</v>
      </c>
      <c r="L416" s="2">
        <v>4992.51</v>
      </c>
    </row>
    <row r="417" spans="1:12" x14ac:dyDescent="0.35">
      <c r="A417" s="2">
        <v>10416</v>
      </c>
      <c r="B417" s="2">
        <v>1160</v>
      </c>
      <c r="C417" s="2" t="s">
        <v>28</v>
      </c>
      <c r="D417" s="2" t="s">
        <v>41</v>
      </c>
      <c r="E417" s="2" t="s">
        <v>20</v>
      </c>
      <c r="F417" s="2" t="s">
        <v>15</v>
      </c>
      <c r="G417" s="2" t="s">
        <v>39</v>
      </c>
      <c r="H417" s="2" t="s">
        <v>27</v>
      </c>
      <c r="I417" s="2">
        <v>8</v>
      </c>
      <c r="J417" s="2">
        <v>2659.82</v>
      </c>
      <c r="K417" s="2">
        <v>0</v>
      </c>
      <c r="L417" s="2">
        <v>21278.560000000001</v>
      </c>
    </row>
    <row r="418" spans="1:12" x14ac:dyDescent="0.35">
      <c r="A418" s="2">
        <v>10417</v>
      </c>
      <c r="B418" s="2">
        <v>1579</v>
      </c>
      <c r="C418" s="2" t="s">
        <v>18</v>
      </c>
      <c r="D418" s="2" t="s">
        <v>41</v>
      </c>
      <c r="E418" s="2" t="s">
        <v>14</v>
      </c>
      <c r="F418" s="2" t="s">
        <v>35</v>
      </c>
      <c r="G418" s="2" t="s">
        <v>40</v>
      </c>
      <c r="H418" s="2" t="s">
        <v>36</v>
      </c>
      <c r="I418" s="2">
        <v>1</v>
      </c>
      <c r="J418" s="2">
        <v>3354.81</v>
      </c>
      <c r="K418" s="2">
        <v>0</v>
      </c>
      <c r="L418" s="2">
        <v>3354.81</v>
      </c>
    </row>
    <row r="419" spans="1:12" x14ac:dyDescent="0.35">
      <c r="A419" s="2">
        <v>10418</v>
      </c>
      <c r="B419" s="2">
        <v>1800</v>
      </c>
      <c r="C419" s="2" t="s">
        <v>32</v>
      </c>
      <c r="D419" s="2" t="s">
        <v>41</v>
      </c>
      <c r="E419" s="2" t="s">
        <v>20</v>
      </c>
      <c r="F419" s="2" t="s">
        <v>29</v>
      </c>
      <c r="G419" s="2" t="s">
        <v>40</v>
      </c>
      <c r="H419" s="2" t="s">
        <v>27</v>
      </c>
      <c r="I419" s="2">
        <v>8</v>
      </c>
      <c r="J419" s="2">
        <v>3905.57</v>
      </c>
      <c r="K419" s="2">
        <v>10</v>
      </c>
      <c r="L419" s="2">
        <v>28120.1</v>
      </c>
    </row>
    <row r="420" spans="1:12" x14ac:dyDescent="0.35">
      <c r="A420" s="2">
        <v>10419</v>
      </c>
      <c r="B420" s="2">
        <v>1397</v>
      </c>
      <c r="C420" s="2" t="s">
        <v>12</v>
      </c>
      <c r="D420" s="2" t="s">
        <v>13</v>
      </c>
      <c r="E420" s="2" t="s">
        <v>20</v>
      </c>
      <c r="F420" s="2" t="s">
        <v>29</v>
      </c>
      <c r="G420" s="2" t="s">
        <v>22</v>
      </c>
      <c r="H420" s="2" t="s">
        <v>38</v>
      </c>
      <c r="I420" s="2">
        <v>8</v>
      </c>
      <c r="J420" s="2">
        <v>1975.53</v>
      </c>
      <c r="K420" s="2">
        <v>5</v>
      </c>
      <c r="L420" s="2">
        <v>15014.03</v>
      </c>
    </row>
    <row r="421" spans="1:12" x14ac:dyDescent="0.35">
      <c r="A421" s="2">
        <v>10420</v>
      </c>
      <c r="B421" s="2">
        <v>1276</v>
      </c>
      <c r="C421" s="2" t="s">
        <v>12</v>
      </c>
      <c r="D421" s="2" t="s">
        <v>24</v>
      </c>
      <c r="E421" s="2" t="s">
        <v>20</v>
      </c>
      <c r="F421" s="2" t="s">
        <v>15</v>
      </c>
      <c r="G421" s="2" t="s">
        <v>16</v>
      </c>
      <c r="H421" s="2" t="s">
        <v>17</v>
      </c>
      <c r="I421" s="2">
        <v>2</v>
      </c>
      <c r="J421" s="2">
        <v>406.77</v>
      </c>
      <c r="K421" s="2">
        <v>10</v>
      </c>
      <c r="L421" s="2">
        <v>732.19</v>
      </c>
    </row>
    <row r="422" spans="1:12" x14ac:dyDescent="0.35">
      <c r="A422" s="2">
        <v>10421</v>
      </c>
      <c r="B422" s="2">
        <v>1815</v>
      </c>
      <c r="C422" s="2" t="s">
        <v>37</v>
      </c>
      <c r="D422" s="2" t="s">
        <v>19</v>
      </c>
      <c r="E422" s="2" t="s">
        <v>20</v>
      </c>
      <c r="F422" s="2" t="s">
        <v>15</v>
      </c>
      <c r="G422" s="2" t="s">
        <v>40</v>
      </c>
      <c r="H422" s="2" t="s">
        <v>36</v>
      </c>
      <c r="I422" s="2">
        <v>4</v>
      </c>
      <c r="J422" s="2">
        <v>335.16</v>
      </c>
      <c r="K422" s="2">
        <v>5</v>
      </c>
      <c r="L422" s="2">
        <v>1273.6099999999999</v>
      </c>
    </row>
    <row r="423" spans="1:12" x14ac:dyDescent="0.35">
      <c r="A423" s="2">
        <v>10422</v>
      </c>
      <c r="B423" s="2">
        <v>1915</v>
      </c>
      <c r="C423" s="2" t="s">
        <v>13</v>
      </c>
      <c r="D423" s="2" t="s">
        <v>41</v>
      </c>
      <c r="E423" s="2" t="s">
        <v>14</v>
      </c>
      <c r="F423" s="2" t="s">
        <v>15</v>
      </c>
      <c r="G423" s="2" t="s">
        <v>40</v>
      </c>
      <c r="H423" s="2" t="s">
        <v>38</v>
      </c>
      <c r="I423" s="2">
        <v>6</v>
      </c>
      <c r="J423" s="2">
        <v>1288.31</v>
      </c>
      <c r="K423" s="2">
        <v>15</v>
      </c>
      <c r="L423" s="2">
        <v>6570.38</v>
      </c>
    </row>
    <row r="424" spans="1:12" x14ac:dyDescent="0.35">
      <c r="A424" s="2">
        <v>10423</v>
      </c>
      <c r="B424" s="2">
        <v>1503</v>
      </c>
      <c r="C424" s="2" t="s">
        <v>32</v>
      </c>
      <c r="D424" s="2" t="s">
        <v>13</v>
      </c>
      <c r="E424" s="2" t="s">
        <v>20</v>
      </c>
      <c r="F424" s="2" t="s">
        <v>35</v>
      </c>
      <c r="G424" s="2" t="s">
        <v>40</v>
      </c>
      <c r="H424" s="2" t="s">
        <v>38</v>
      </c>
      <c r="I424" s="2">
        <v>9</v>
      </c>
      <c r="J424" s="2">
        <v>3740.3</v>
      </c>
      <c r="K424" s="2">
        <v>10</v>
      </c>
      <c r="L424" s="2">
        <v>30296.43</v>
      </c>
    </row>
    <row r="425" spans="1:12" x14ac:dyDescent="0.35">
      <c r="A425" s="2">
        <v>10424</v>
      </c>
      <c r="B425" s="2">
        <v>1895</v>
      </c>
      <c r="C425" s="2" t="s">
        <v>30</v>
      </c>
      <c r="D425" s="2" t="s">
        <v>13</v>
      </c>
      <c r="E425" s="2" t="s">
        <v>25</v>
      </c>
      <c r="F425" s="2" t="s">
        <v>34</v>
      </c>
      <c r="G425" s="2" t="s">
        <v>40</v>
      </c>
      <c r="H425" s="2" t="s">
        <v>36</v>
      </c>
      <c r="I425" s="2">
        <v>8</v>
      </c>
      <c r="J425" s="2">
        <v>2164.37</v>
      </c>
      <c r="K425" s="2">
        <v>10</v>
      </c>
      <c r="L425" s="2">
        <v>15583.46</v>
      </c>
    </row>
    <row r="426" spans="1:12" x14ac:dyDescent="0.35">
      <c r="A426" s="2">
        <v>10425</v>
      </c>
      <c r="B426" s="2">
        <v>1391</v>
      </c>
      <c r="C426" s="2" t="s">
        <v>13</v>
      </c>
      <c r="D426" s="2" t="s">
        <v>13</v>
      </c>
      <c r="E426" s="2" t="s">
        <v>25</v>
      </c>
      <c r="F426" s="2" t="s">
        <v>15</v>
      </c>
      <c r="G426" s="2" t="s">
        <v>26</v>
      </c>
      <c r="H426" s="2" t="s">
        <v>27</v>
      </c>
      <c r="I426" s="2">
        <v>8</v>
      </c>
      <c r="J426" s="2">
        <v>1196.3800000000001</v>
      </c>
      <c r="K426" s="2">
        <v>20</v>
      </c>
      <c r="L426" s="2">
        <v>7656.83</v>
      </c>
    </row>
    <row r="427" spans="1:12" x14ac:dyDescent="0.35">
      <c r="A427" s="2">
        <v>10426</v>
      </c>
      <c r="B427" s="2">
        <v>1134</v>
      </c>
      <c r="C427" s="2" t="s">
        <v>13</v>
      </c>
      <c r="D427" s="2" t="s">
        <v>24</v>
      </c>
      <c r="E427" s="2" t="s">
        <v>14</v>
      </c>
      <c r="F427" s="2" t="s">
        <v>15</v>
      </c>
      <c r="G427" s="2" t="s">
        <v>26</v>
      </c>
      <c r="H427" s="2" t="s">
        <v>38</v>
      </c>
      <c r="I427" s="2">
        <v>7</v>
      </c>
      <c r="J427" s="2">
        <v>1686.79</v>
      </c>
      <c r="K427" s="2">
        <v>10</v>
      </c>
      <c r="L427" s="2">
        <v>10626.78</v>
      </c>
    </row>
    <row r="428" spans="1:12" x14ac:dyDescent="0.35">
      <c r="A428" s="2">
        <v>10427</v>
      </c>
      <c r="B428" s="2">
        <v>1194</v>
      </c>
      <c r="C428" s="2" t="s">
        <v>32</v>
      </c>
      <c r="D428" s="2" t="s">
        <v>19</v>
      </c>
      <c r="E428" s="2" t="s">
        <v>20</v>
      </c>
      <c r="F428" s="2" t="s">
        <v>21</v>
      </c>
      <c r="G428" s="2" t="s">
        <v>16</v>
      </c>
      <c r="H428" s="2" t="s">
        <v>23</v>
      </c>
      <c r="I428" s="2">
        <v>9</v>
      </c>
      <c r="J428" s="2">
        <v>2454.59</v>
      </c>
      <c r="K428" s="2">
        <v>5</v>
      </c>
      <c r="L428" s="2">
        <v>20986.74</v>
      </c>
    </row>
    <row r="429" spans="1:12" x14ac:dyDescent="0.35">
      <c r="A429" s="2">
        <v>10428</v>
      </c>
      <c r="B429" s="2">
        <v>1400</v>
      </c>
      <c r="C429" s="2" t="s">
        <v>18</v>
      </c>
      <c r="D429" s="2" t="s">
        <v>24</v>
      </c>
      <c r="E429" s="2" t="s">
        <v>25</v>
      </c>
      <c r="F429" s="2" t="s">
        <v>35</v>
      </c>
      <c r="G429" s="2" t="s">
        <v>39</v>
      </c>
      <c r="H429" s="2" t="s">
        <v>38</v>
      </c>
      <c r="I429" s="2">
        <v>2</v>
      </c>
      <c r="J429" s="2">
        <v>2663.86</v>
      </c>
      <c r="K429" s="2">
        <v>20</v>
      </c>
      <c r="L429" s="2">
        <v>4262.18</v>
      </c>
    </row>
    <row r="430" spans="1:12" x14ac:dyDescent="0.35">
      <c r="A430" s="2">
        <v>10429</v>
      </c>
      <c r="B430" s="2">
        <v>1639</v>
      </c>
      <c r="C430" s="2" t="s">
        <v>37</v>
      </c>
      <c r="D430" s="2" t="s">
        <v>31</v>
      </c>
      <c r="E430" s="2" t="s">
        <v>14</v>
      </c>
      <c r="F430" s="2" t="s">
        <v>15</v>
      </c>
      <c r="G430" s="2" t="s">
        <v>40</v>
      </c>
      <c r="H430" s="2" t="s">
        <v>27</v>
      </c>
      <c r="I430" s="2">
        <v>3</v>
      </c>
      <c r="J430" s="2">
        <v>742.59</v>
      </c>
      <c r="K430" s="2">
        <v>10</v>
      </c>
      <c r="L430" s="2">
        <v>2004.99</v>
      </c>
    </row>
    <row r="431" spans="1:12" x14ac:dyDescent="0.35">
      <c r="A431" s="2">
        <v>10430</v>
      </c>
      <c r="B431" s="2">
        <v>1032</v>
      </c>
      <c r="C431" s="2" t="s">
        <v>37</v>
      </c>
      <c r="D431" s="2" t="s">
        <v>13</v>
      </c>
      <c r="E431" s="2" t="s">
        <v>20</v>
      </c>
      <c r="F431" s="2" t="s">
        <v>21</v>
      </c>
      <c r="G431" s="2" t="s">
        <v>22</v>
      </c>
      <c r="H431" s="2" t="s">
        <v>27</v>
      </c>
      <c r="I431" s="2">
        <v>8</v>
      </c>
      <c r="J431" s="2">
        <v>3911.57</v>
      </c>
      <c r="K431" s="2">
        <v>10</v>
      </c>
      <c r="L431" s="2">
        <v>28163.3</v>
      </c>
    </row>
    <row r="432" spans="1:12" x14ac:dyDescent="0.35">
      <c r="A432" s="2">
        <v>10431</v>
      </c>
      <c r="B432" s="2">
        <v>1687</v>
      </c>
      <c r="C432" s="2" t="s">
        <v>37</v>
      </c>
      <c r="D432" s="2" t="s">
        <v>31</v>
      </c>
      <c r="E432" s="2" t="s">
        <v>25</v>
      </c>
      <c r="F432" s="2" t="s">
        <v>29</v>
      </c>
      <c r="G432" s="2" t="s">
        <v>39</v>
      </c>
      <c r="H432" s="2" t="s">
        <v>23</v>
      </c>
      <c r="I432" s="2">
        <v>6</v>
      </c>
      <c r="J432" s="2">
        <v>2247.37</v>
      </c>
      <c r="K432" s="2">
        <v>15</v>
      </c>
      <c r="L432" s="2">
        <v>11461.59</v>
      </c>
    </row>
    <row r="433" spans="1:12" x14ac:dyDescent="0.35">
      <c r="A433" s="2">
        <v>10432</v>
      </c>
      <c r="B433" s="2">
        <v>1459</v>
      </c>
      <c r="C433" s="2" t="s">
        <v>37</v>
      </c>
      <c r="D433" s="2" t="s">
        <v>33</v>
      </c>
      <c r="E433" s="2" t="s">
        <v>25</v>
      </c>
      <c r="F433" s="2" t="s">
        <v>15</v>
      </c>
      <c r="G433" s="2" t="s">
        <v>22</v>
      </c>
      <c r="H433" s="2" t="s">
        <v>38</v>
      </c>
      <c r="I433" s="2">
        <v>9</v>
      </c>
      <c r="J433" s="2">
        <v>672.4</v>
      </c>
      <c r="K433" s="2">
        <v>10</v>
      </c>
      <c r="L433" s="2">
        <v>5446.44</v>
      </c>
    </row>
    <row r="434" spans="1:12" x14ac:dyDescent="0.35">
      <c r="A434" s="2">
        <v>10433</v>
      </c>
      <c r="B434" s="2">
        <v>1954</v>
      </c>
      <c r="C434" s="2" t="s">
        <v>12</v>
      </c>
      <c r="D434" s="2" t="s">
        <v>41</v>
      </c>
      <c r="E434" s="2" t="s">
        <v>14</v>
      </c>
      <c r="F434" s="2" t="s">
        <v>15</v>
      </c>
      <c r="G434" s="2" t="s">
        <v>39</v>
      </c>
      <c r="H434" s="2" t="s">
        <v>27</v>
      </c>
      <c r="I434" s="2">
        <v>4</v>
      </c>
      <c r="J434" s="2">
        <v>3590.5</v>
      </c>
      <c r="K434" s="2">
        <v>0</v>
      </c>
      <c r="L434" s="2">
        <v>14362</v>
      </c>
    </row>
    <row r="435" spans="1:12" x14ac:dyDescent="0.35">
      <c r="A435" s="2">
        <v>10434</v>
      </c>
      <c r="B435" s="2">
        <v>1882</v>
      </c>
      <c r="C435" s="2" t="s">
        <v>37</v>
      </c>
      <c r="D435" s="2" t="s">
        <v>41</v>
      </c>
      <c r="E435" s="2" t="s">
        <v>20</v>
      </c>
      <c r="F435" s="2" t="s">
        <v>21</v>
      </c>
      <c r="G435" s="2" t="s">
        <v>16</v>
      </c>
      <c r="H435" s="2" t="s">
        <v>36</v>
      </c>
      <c r="I435" s="2">
        <v>8</v>
      </c>
      <c r="J435" s="2">
        <v>437.36</v>
      </c>
      <c r="K435" s="2">
        <v>20</v>
      </c>
      <c r="L435" s="2">
        <v>2799.1</v>
      </c>
    </row>
    <row r="436" spans="1:12" x14ac:dyDescent="0.35">
      <c r="A436" s="2">
        <v>10435</v>
      </c>
      <c r="B436" s="2">
        <v>1469</v>
      </c>
      <c r="C436" s="2" t="s">
        <v>12</v>
      </c>
      <c r="D436" s="2" t="s">
        <v>24</v>
      </c>
      <c r="E436" s="2" t="s">
        <v>20</v>
      </c>
      <c r="F436" s="2" t="s">
        <v>35</v>
      </c>
      <c r="G436" s="2" t="s">
        <v>40</v>
      </c>
      <c r="H436" s="2" t="s">
        <v>17</v>
      </c>
      <c r="I436" s="2">
        <v>3</v>
      </c>
      <c r="J436" s="2">
        <v>3644.78</v>
      </c>
      <c r="K436" s="2">
        <v>0</v>
      </c>
      <c r="L436" s="2">
        <v>10934.34</v>
      </c>
    </row>
    <row r="437" spans="1:12" x14ac:dyDescent="0.35">
      <c r="A437" s="2">
        <v>10436</v>
      </c>
      <c r="B437" s="2">
        <v>1374</v>
      </c>
      <c r="C437" s="2" t="s">
        <v>12</v>
      </c>
      <c r="D437" s="2" t="s">
        <v>19</v>
      </c>
      <c r="E437" s="2" t="s">
        <v>25</v>
      </c>
      <c r="F437" s="2" t="s">
        <v>15</v>
      </c>
      <c r="G437" s="2" t="s">
        <v>40</v>
      </c>
      <c r="H437" s="2" t="s">
        <v>17</v>
      </c>
      <c r="I437" s="2">
        <v>3</v>
      </c>
      <c r="J437" s="2">
        <v>3986.78</v>
      </c>
      <c r="K437" s="2">
        <v>20</v>
      </c>
      <c r="L437" s="2">
        <v>9568.27</v>
      </c>
    </row>
    <row r="438" spans="1:12" x14ac:dyDescent="0.35">
      <c r="A438" s="2">
        <v>10437</v>
      </c>
      <c r="B438" s="2">
        <v>1021</v>
      </c>
      <c r="C438" s="2" t="s">
        <v>18</v>
      </c>
      <c r="D438" s="2" t="s">
        <v>31</v>
      </c>
      <c r="E438" s="2" t="s">
        <v>25</v>
      </c>
      <c r="F438" s="2" t="s">
        <v>29</v>
      </c>
      <c r="G438" s="2" t="s">
        <v>42</v>
      </c>
      <c r="H438" s="2" t="s">
        <v>17</v>
      </c>
      <c r="I438" s="2">
        <v>8</v>
      </c>
      <c r="J438" s="2">
        <v>2846.66</v>
      </c>
      <c r="K438" s="2">
        <v>15</v>
      </c>
      <c r="L438" s="2">
        <v>19357.29</v>
      </c>
    </row>
    <row r="439" spans="1:12" x14ac:dyDescent="0.35">
      <c r="A439" s="2">
        <v>10438</v>
      </c>
      <c r="B439" s="2">
        <v>1749</v>
      </c>
      <c r="C439" s="2" t="s">
        <v>37</v>
      </c>
      <c r="D439" s="2" t="s">
        <v>19</v>
      </c>
      <c r="E439" s="2" t="s">
        <v>25</v>
      </c>
      <c r="F439" s="2" t="s">
        <v>15</v>
      </c>
      <c r="G439" s="2" t="s">
        <v>22</v>
      </c>
      <c r="H439" s="2" t="s">
        <v>38</v>
      </c>
      <c r="I439" s="2">
        <v>5</v>
      </c>
      <c r="J439" s="2">
        <v>3116.22</v>
      </c>
      <c r="K439" s="2">
        <v>10</v>
      </c>
      <c r="L439" s="2">
        <v>14022.99</v>
      </c>
    </row>
    <row r="440" spans="1:12" x14ac:dyDescent="0.35">
      <c r="A440" s="2">
        <v>10439</v>
      </c>
      <c r="B440" s="2">
        <v>1669</v>
      </c>
      <c r="C440" s="2" t="s">
        <v>28</v>
      </c>
      <c r="D440" s="2" t="s">
        <v>24</v>
      </c>
      <c r="E440" s="2" t="s">
        <v>20</v>
      </c>
      <c r="F440" s="2" t="s">
        <v>29</v>
      </c>
      <c r="G440" s="2" t="s">
        <v>39</v>
      </c>
      <c r="H440" s="2" t="s">
        <v>23</v>
      </c>
      <c r="I440" s="2">
        <v>3</v>
      </c>
      <c r="J440" s="2">
        <v>1448.62</v>
      </c>
      <c r="K440" s="2">
        <v>10</v>
      </c>
      <c r="L440" s="2">
        <v>3911.27</v>
      </c>
    </row>
    <row r="441" spans="1:12" x14ac:dyDescent="0.35">
      <c r="A441" s="2">
        <v>10440</v>
      </c>
      <c r="B441" s="2">
        <v>1037</v>
      </c>
      <c r="C441" s="2" t="s">
        <v>30</v>
      </c>
      <c r="D441" s="2" t="s">
        <v>41</v>
      </c>
      <c r="E441" s="2" t="s">
        <v>14</v>
      </c>
      <c r="F441" s="2" t="s">
        <v>34</v>
      </c>
      <c r="G441" s="2" t="s">
        <v>39</v>
      </c>
      <c r="H441" s="2" t="s">
        <v>27</v>
      </c>
      <c r="I441" s="2">
        <v>1</v>
      </c>
      <c r="J441" s="2">
        <v>3775.07</v>
      </c>
      <c r="K441" s="2">
        <v>10</v>
      </c>
      <c r="L441" s="2">
        <v>3397.56</v>
      </c>
    </row>
    <row r="442" spans="1:12" x14ac:dyDescent="0.35">
      <c r="A442" s="2">
        <v>10441</v>
      </c>
      <c r="B442" s="2">
        <v>1229</v>
      </c>
      <c r="C442" s="2" t="s">
        <v>13</v>
      </c>
      <c r="D442" s="2" t="s">
        <v>19</v>
      </c>
      <c r="E442" s="2" t="s">
        <v>14</v>
      </c>
      <c r="F442" s="2" t="s">
        <v>34</v>
      </c>
      <c r="G442" s="2" t="s">
        <v>26</v>
      </c>
      <c r="H442" s="2" t="s">
        <v>36</v>
      </c>
      <c r="I442" s="2">
        <v>3</v>
      </c>
      <c r="J442" s="2">
        <v>2189.4</v>
      </c>
      <c r="K442" s="2">
        <v>20</v>
      </c>
      <c r="L442" s="2">
        <v>5254.56</v>
      </c>
    </row>
    <row r="443" spans="1:12" x14ac:dyDescent="0.35">
      <c r="A443" s="2">
        <v>10442</v>
      </c>
      <c r="B443" s="2">
        <v>1364</v>
      </c>
      <c r="C443" s="2" t="s">
        <v>12</v>
      </c>
      <c r="D443" s="2" t="s">
        <v>19</v>
      </c>
      <c r="E443" s="2" t="s">
        <v>20</v>
      </c>
      <c r="F443" s="2" t="s">
        <v>29</v>
      </c>
      <c r="G443" s="2" t="s">
        <v>42</v>
      </c>
      <c r="H443" s="2" t="s">
        <v>36</v>
      </c>
      <c r="I443" s="2">
        <v>9</v>
      </c>
      <c r="J443" s="2">
        <v>2969.7</v>
      </c>
      <c r="K443" s="2">
        <v>10</v>
      </c>
      <c r="L443" s="2">
        <v>24054.57</v>
      </c>
    </row>
    <row r="444" spans="1:12" x14ac:dyDescent="0.35">
      <c r="A444" s="2">
        <v>10443</v>
      </c>
      <c r="B444" s="2">
        <v>1562</v>
      </c>
      <c r="C444" s="2" t="s">
        <v>32</v>
      </c>
      <c r="D444" s="2" t="s">
        <v>41</v>
      </c>
      <c r="E444" s="2" t="s">
        <v>14</v>
      </c>
      <c r="F444" s="2" t="s">
        <v>35</v>
      </c>
      <c r="G444" s="2" t="s">
        <v>26</v>
      </c>
      <c r="H444" s="2" t="s">
        <v>38</v>
      </c>
      <c r="I444" s="2">
        <v>5</v>
      </c>
      <c r="J444" s="2">
        <v>3707.81</v>
      </c>
      <c r="K444" s="2">
        <v>0</v>
      </c>
      <c r="L444" s="2">
        <v>18539.05</v>
      </c>
    </row>
    <row r="445" spans="1:12" x14ac:dyDescent="0.35">
      <c r="A445" s="2">
        <v>10444</v>
      </c>
      <c r="B445" s="2">
        <v>1437</v>
      </c>
      <c r="C445" s="2" t="s">
        <v>32</v>
      </c>
      <c r="D445" s="2" t="s">
        <v>31</v>
      </c>
      <c r="E445" s="2" t="s">
        <v>25</v>
      </c>
      <c r="F445" s="2" t="s">
        <v>15</v>
      </c>
      <c r="G445" s="2" t="s">
        <v>26</v>
      </c>
      <c r="H445" s="2" t="s">
        <v>17</v>
      </c>
      <c r="I445" s="2">
        <v>2</v>
      </c>
      <c r="J445" s="2">
        <v>3904.44</v>
      </c>
      <c r="K445" s="2">
        <v>10</v>
      </c>
      <c r="L445" s="2">
        <v>7027.99</v>
      </c>
    </row>
    <row r="446" spans="1:12" x14ac:dyDescent="0.35">
      <c r="A446" s="2">
        <v>10445</v>
      </c>
      <c r="B446" s="2">
        <v>1775</v>
      </c>
      <c r="C446" s="2" t="s">
        <v>30</v>
      </c>
      <c r="D446" s="2" t="s">
        <v>41</v>
      </c>
      <c r="E446" s="2" t="s">
        <v>14</v>
      </c>
      <c r="F446" s="2" t="s">
        <v>15</v>
      </c>
      <c r="G446" s="2" t="s">
        <v>26</v>
      </c>
      <c r="H446" s="2" t="s">
        <v>38</v>
      </c>
      <c r="I446" s="2">
        <v>7</v>
      </c>
      <c r="J446" s="2">
        <v>3357.84</v>
      </c>
      <c r="K446" s="2">
        <v>15</v>
      </c>
      <c r="L446" s="2">
        <v>19979.150000000001</v>
      </c>
    </row>
    <row r="447" spans="1:12" x14ac:dyDescent="0.35">
      <c r="A447" s="2">
        <v>10446</v>
      </c>
      <c r="B447" s="2">
        <v>1282</v>
      </c>
      <c r="C447" s="2" t="s">
        <v>32</v>
      </c>
      <c r="D447" s="2" t="s">
        <v>19</v>
      </c>
      <c r="E447" s="2" t="s">
        <v>14</v>
      </c>
      <c r="F447" s="2" t="s">
        <v>34</v>
      </c>
      <c r="G447" s="2" t="s">
        <v>22</v>
      </c>
      <c r="H447" s="2" t="s">
        <v>23</v>
      </c>
      <c r="I447" s="2">
        <v>2</v>
      </c>
      <c r="J447" s="2">
        <v>1316.62</v>
      </c>
      <c r="K447" s="2">
        <v>0</v>
      </c>
      <c r="L447" s="2">
        <v>2633.24</v>
      </c>
    </row>
    <row r="448" spans="1:12" x14ac:dyDescent="0.35">
      <c r="A448" s="2">
        <v>10447</v>
      </c>
      <c r="B448" s="2">
        <v>1026</v>
      </c>
      <c r="C448" s="2" t="s">
        <v>28</v>
      </c>
      <c r="D448" s="2" t="s">
        <v>31</v>
      </c>
      <c r="E448" s="2" t="s">
        <v>14</v>
      </c>
      <c r="F448" s="2" t="s">
        <v>29</v>
      </c>
      <c r="G448" s="2" t="s">
        <v>22</v>
      </c>
      <c r="H448" s="2" t="s">
        <v>23</v>
      </c>
      <c r="I448" s="2">
        <v>4</v>
      </c>
      <c r="J448" s="2">
        <v>3871.21</v>
      </c>
      <c r="K448" s="2">
        <v>10</v>
      </c>
      <c r="L448" s="2">
        <v>13936.36</v>
      </c>
    </row>
    <row r="449" spans="1:12" x14ac:dyDescent="0.35">
      <c r="A449" s="2">
        <v>10448</v>
      </c>
      <c r="B449" s="2">
        <v>1225</v>
      </c>
      <c r="C449" s="2" t="s">
        <v>32</v>
      </c>
      <c r="D449" s="2" t="s">
        <v>31</v>
      </c>
      <c r="E449" s="2" t="s">
        <v>25</v>
      </c>
      <c r="F449" s="2" t="s">
        <v>15</v>
      </c>
      <c r="G449" s="2" t="s">
        <v>16</v>
      </c>
      <c r="H449" s="2" t="s">
        <v>27</v>
      </c>
      <c r="I449" s="2">
        <v>7</v>
      </c>
      <c r="J449" s="2">
        <v>2568.2600000000002</v>
      </c>
      <c r="K449" s="2">
        <v>10</v>
      </c>
      <c r="L449" s="2">
        <v>16180.04</v>
      </c>
    </row>
    <row r="450" spans="1:12" x14ac:dyDescent="0.35">
      <c r="A450" s="2">
        <v>10449</v>
      </c>
      <c r="B450" s="2">
        <v>1276</v>
      </c>
      <c r="C450" s="2" t="s">
        <v>13</v>
      </c>
      <c r="D450" s="2" t="s">
        <v>41</v>
      </c>
      <c r="E450" s="2" t="s">
        <v>20</v>
      </c>
      <c r="F450" s="2" t="s">
        <v>15</v>
      </c>
      <c r="G450" s="2" t="s">
        <v>16</v>
      </c>
      <c r="H450" s="2" t="s">
        <v>27</v>
      </c>
      <c r="I450" s="2">
        <v>4</v>
      </c>
      <c r="J450" s="2">
        <v>3732.97</v>
      </c>
      <c r="K450" s="2">
        <v>5</v>
      </c>
      <c r="L450" s="2">
        <v>14185.29</v>
      </c>
    </row>
    <row r="451" spans="1:12" x14ac:dyDescent="0.35">
      <c r="A451" s="2">
        <v>10450</v>
      </c>
      <c r="B451" s="2">
        <v>1797</v>
      </c>
      <c r="C451" s="2" t="s">
        <v>13</v>
      </c>
      <c r="D451" s="2" t="s">
        <v>19</v>
      </c>
      <c r="E451" s="2" t="s">
        <v>25</v>
      </c>
      <c r="F451" s="2" t="s">
        <v>35</v>
      </c>
      <c r="G451" s="2" t="s">
        <v>26</v>
      </c>
      <c r="H451" s="2" t="s">
        <v>23</v>
      </c>
      <c r="I451" s="2">
        <v>7</v>
      </c>
      <c r="J451" s="2">
        <v>2753</v>
      </c>
      <c r="K451" s="2">
        <v>20</v>
      </c>
      <c r="L451" s="2">
        <v>15416.8</v>
      </c>
    </row>
    <row r="452" spans="1:12" x14ac:dyDescent="0.35">
      <c r="A452" s="2">
        <v>10451</v>
      </c>
      <c r="B452" s="2">
        <v>1608</v>
      </c>
      <c r="C452" s="2" t="s">
        <v>12</v>
      </c>
      <c r="D452" s="2" t="s">
        <v>24</v>
      </c>
      <c r="E452" s="2" t="s">
        <v>20</v>
      </c>
      <c r="F452" s="2" t="s">
        <v>21</v>
      </c>
      <c r="G452" s="2" t="s">
        <v>42</v>
      </c>
      <c r="H452" s="2" t="s">
        <v>23</v>
      </c>
      <c r="I452" s="2">
        <v>7</v>
      </c>
      <c r="J452" s="2">
        <v>1332.87</v>
      </c>
      <c r="K452" s="2">
        <v>0</v>
      </c>
      <c r="L452" s="2">
        <v>9330.09</v>
      </c>
    </row>
    <row r="453" spans="1:12" x14ac:dyDescent="0.35">
      <c r="A453" s="2">
        <v>10452</v>
      </c>
      <c r="B453" s="2">
        <v>1283</v>
      </c>
      <c r="C453" s="2" t="s">
        <v>37</v>
      </c>
      <c r="D453" s="2" t="s">
        <v>19</v>
      </c>
      <c r="E453" s="2" t="s">
        <v>20</v>
      </c>
      <c r="F453" s="2" t="s">
        <v>34</v>
      </c>
      <c r="G453" s="2" t="s">
        <v>39</v>
      </c>
      <c r="H453" s="2" t="s">
        <v>23</v>
      </c>
      <c r="I453" s="2">
        <v>1</v>
      </c>
      <c r="J453" s="2">
        <v>1574.59</v>
      </c>
      <c r="K453" s="2">
        <v>5</v>
      </c>
      <c r="L453" s="2">
        <v>1495.86</v>
      </c>
    </row>
    <row r="454" spans="1:12" x14ac:dyDescent="0.35">
      <c r="A454" s="2">
        <v>10453</v>
      </c>
      <c r="B454" s="2">
        <v>1878</v>
      </c>
      <c r="C454" s="2" t="s">
        <v>18</v>
      </c>
      <c r="D454" s="2" t="s">
        <v>13</v>
      </c>
      <c r="E454" s="2" t="s">
        <v>20</v>
      </c>
      <c r="F454" s="2" t="s">
        <v>34</v>
      </c>
      <c r="G454" s="2" t="s">
        <v>22</v>
      </c>
      <c r="H454" s="2" t="s">
        <v>38</v>
      </c>
      <c r="I454" s="2">
        <v>6</v>
      </c>
      <c r="J454" s="2">
        <v>2269.3200000000002</v>
      </c>
      <c r="K454" s="2">
        <v>15</v>
      </c>
      <c r="L454" s="2">
        <v>11573.53</v>
      </c>
    </row>
    <row r="455" spans="1:12" x14ac:dyDescent="0.35">
      <c r="A455" s="2">
        <v>10454</v>
      </c>
      <c r="B455" s="2">
        <v>1959</v>
      </c>
      <c r="C455" s="2" t="s">
        <v>28</v>
      </c>
      <c r="D455" s="2" t="s">
        <v>33</v>
      </c>
      <c r="E455" s="2" t="s">
        <v>14</v>
      </c>
      <c r="F455" s="2" t="s">
        <v>21</v>
      </c>
      <c r="G455" s="2" t="s">
        <v>42</v>
      </c>
      <c r="H455" s="2" t="s">
        <v>23</v>
      </c>
      <c r="I455" s="2">
        <v>9</v>
      </c>
      <c r="J455" s="2">
        <v>3191.56</v>
      </c>
      <c r="K455" s="2">
        <v>20</v>
      </c>
      <c r="L455" s="2">
        <v>22979.23</v>
      </c>
    </row>
    <row r="456" spans="1:12" x14ac:dyDescent="0.35">
      <c r="A456" s="2">
        <v>10455</v>
      </c>
      <c r="B456" s="2">
        <v>1480</v>
      </c>
      <c r="C456" s="2" t="s">
        <v>12</v>
      </c>
      <c r="D456" s="2" t="s">
        <v>24</v>
      </c>
      <c r="E456" s="2" t="s">
        <v>14</v>
      </c>
      <c r="F456" s="2" t="s">
        <v>15</v>
      </c>
      <c r="G456" s="2" t="s">
        <v>40</v>
      </c>
      <c r="H456" s="2" t="s">
        <v>36</v>
      </c>
      <c r="I456" s="2">
        <v>2</v>
      </c>
      <c r="J456" s="2">
        <v>1374.23</v>
      </c>
      <c r="K456" s="2">
        <v>0</v>
      </c>
      <c r="L456" s="2">
        <v>2748.46</v>
      </c>
    </row>
    <row r="457" spans="1:12" x14ac:dyDescent="0.35">
      <c r="A457" s="2">
        <v>10456</v>
      </c>
      <c r="B457" s="2">
        <v>1452</v>
      </c>
      <c r="C457" s="2" t="s">
        <v>28</v>
      </c>
      <c r="D457" s="2" t="s">
        <v>31</v>
      </c>
      <c r="E457" s="2" t="s">
        <v>20</v>
      </c>
      <c r="F457" s="2" t="s">
        <v>35</v>
      </c>
      <c r="G457" s="2" t="s">
        <v>22</v>
      </c>
      <c r="H457" s="2" t="s">
        <v>17</v>
      </c>
      <c r="I457" s="2">
        <v>3</v>
      </c>
      <c r="J457" s="2">
        <v>2381.96</v>
      </c>
      <c r="K457" s="2">
        <v>10</v>
      </c>
      <c r="L457" s="2">
        <v>6431.29</v>
      </c>
    </row>
    <row r="458" spans="1:12" x14ac:dyDescent="0.35">
      <c r="A458" s="2">
        <v>10457</v>
      </c>
      <c r="B458" s="2">
        <v>1828</v>
      </c>
      <c r="C458" s="2" t="s">
        <v>37</v>
      </c>
      <c r="D458" s="2" t="s">
        <v>24</v>
      </c>
      <c r="E458" s="2" t="s">
        <v>20</v>
      </c>
      <c r="F458" s="2" t="s">
        <v>35</v>
      </c>
      <c r="G458" s="2" t="s">
        <v>22</v>
      </c>
      <c r="H458" s="2" t="s">
        <v>23</v>
      </c>
      <c r="I458" s="2">
        <v>5</v>
      </c>
      <c r="J458" s="2">
        <v>1480.66</v>
      </c>
      <c r="K458" s="2">
        <v>0</v>
      </c>
      <c r="L458" s="2">
        <v>7403.3</v>
      </c>
    </row>
    <row r="459" spans="1:12" x14ac:dyDescent="0.35">
      <c r="A459" s="2">
        <v>10458</v>
      </c>
      <c r="B459" s="2">
        <v>1815</v>
      </c>
      <c r="C459" s="2" t="s">
        <v>32</v>
      </c>
      <c r="D459" s="2" t="s">
        <v>31</v>
      </c>
      <c r="E459" s="2" t="s">
        <v>14</v>
      </c>
      <c r="F459" s="2" t="s">
        <v>34</v>
      </c>
      <c r="G459" s="2" t="s">
        <v>16</v>
      </c>
      <c r="H459" s="2" t="s">
        <v>17</v>
      </c>
      <c r="I459" s="2">
        <v>9</v>
      </c>
      <c r="J459" s="2">
        <v>3290.71</v>
      </c>
      <c r="K459" s="2">
        <v>10</v>
      </c>
      <c r="L459" s="2">
        <v>26654.75</v>
      </c>
    </row>
    <row r="460" spans="1:12" x14ac:dyDescent="0.35">
      <c r="A460" s="2">
        <v>10459</v>
      </c>
      <c r="B460" s="2">
        <v>1658</v>
      </c>
      <c r="C460" s="2" t="s">
        <v>32</v>
      </c>
      <c r="D460" s="2" t="s">
        <v>31</v>
      </c>
      <c r="E460" s="2" t="s">
        <v>25</v>
      </c>
      <c r="F460" s="2" t="s">
        <v>35</v>
      </c>
      <c r="G460" s="2" t="s">
        <v>39</v>
      </c>
      <c r="H460" s="2" t="s">
        <v>38</v>
      </c>
      <c r="I460" s="2">
        <v>4</v>
      </c>
      <c r="J460" s="2">
        <v>1946.9</v>
      </c>
      <c r="K460" s="2">
        <v>20</v>
      </c>
      <c r="L460" s="2">
        <v>6230.08</v>
      </c>
    </row>
    <row r="461" spans="1:12" x14ac:dyDescent="0.35">
      <c r="A461" s="2">
        <v>10460</v>
      </c>
      <c r="B461" s="2">
        <v>1515</v>
      </c>
      <c r="C461" s="2" t="s">
        <v>18</v>
      </c>
      <c r="D461" s="2" t="s">
        <v>24</v>
      </c>
      <c r="E461" s="2" t="s">
        <v>20</v>
      </c>
      <c r="F461" s="2" t="s">
        <v>21</v>
      </c>
      <c r="G461" s="2" t="s">
        <v>39</v>
      </c>
      <c r="H461" s="2" t="s">
        <v>17</v>
      </c>
      <c r="I461" s="2">
        <v>1</v>
      </c>
      <c r="J461" s="2">
        <v>445.38</v>
      </c>
      <c r="K461" s="2">
        <v>10</v>
      </c>
      <c r="L461" s="2">
        <v>400.84</v>
      </c>
    </row>
    <row r="462" spans="1:12" x14ac:dyDescent="0.35">
      <c r="A462" s="2">
        <v>10461</v>
      </c>
      <c r="B462" s="2">
        <v>1546</v>
      </c>
      <c r="C462" s="2" t="s">
        <v>37</v>
      </c>
      <c r="D462" s="2" t="s">
        <v>31</v>
      </c>
      <c r="E462" s="2" t="s">
        <v>25</v>
      </c>
      <c r="F462" s="2" t="s">
        <v>15</v>
      </c>
      <c r="G462" s="2" t="s">
        <v>40</v>
      </c>
      <c r="H462" s="2" t="s">
        <v>38</v>
      </c>
      <c r="I462" s="2">
        <v>4</v>
      </c>
      <c r="J462" s="2">
        <v>789.3</v>
      </c>
      <c r="K462" s="2">
        <v>15</v>
      </c>
      <c r="L462" s="2">
        <v>2683.62</v>
      </c>
    </row>
    <row r="463" spans="1:12" x14ac:dyDescent="0.35">
      <c r="A463" s="2">
        <v>10462</v>
      </c>
      <c r="B463" s="2">
        <v>1191</v>
      </c>
      <c r="C463" s="2" t="s">
        <v>12</v>
      </c>
      <c r="D463" s="2" t="s">
        <v>31</v>
      </c>
      <c r="E463" s="2" t="s">
        <v>14</v>
      </c>
      <c r="F463" s="2" t="s">
        <v>21</v>
      </c>
      <c r="G463" s="2" t="s">
        <v>40</v>
      </c>
      <c r="H463" s="2" t="s">
        <v>36</v>
      </c>
      <c r="I463" s="2">
        <v>6</v>
      </c>
      <c r="J463" s="2">
        <v>385.25</v>
      </c>
      <c r="K463" s="2">
        <v>10</v>
      </c>
      <c r="L463" s="2">
        <v>2080.35</v>
      </c>
    </row>
    <row r="464" spans="1:12" x14ac:dyDescent="0.35">
      <c r="A464" s="2">
        <v>10463</v>
      </c>
      <c r="B464" s="2">
        <v>1048</v>
      </c>
      <c r="C464" s="2" t="s">
        <v>18</v>
      </c>
      <c r="D464" s="2" t="s">
        <v>13</v>
      </c>
      <c r="E464" s="2" t="s">
        <v>20</v>
      </c>
      <c r="F464" s="2" t="s">
        <v>29</v>
      </c>
      <c r="G464" s="2" t="s">
        <v>22</v>
      </c>
      <c r="H464" s="2" t="s">
        <v>38</v>
      </c>
      <c r="I464" s="2">
        <v>5</v>
      </c>
      <c r="J464" s="2">
        <v>2072.3200000000002</v>
      </c>
      <c r="K464" s="2">
        <v>15</v>
      </c>
      <c r="L464" s="2">
        <v>8807.36</v>
      </c>
    </row>
    <row r="465" spans="1:12" x14ac:dyDescent="0.35">
      <c r="A465" s="2">
        <v>10464</v>
      </c>
      <c r="B465" s="2">
        <v>1511</v>
      </c>
      <c r="C465" s="2" t="s">
        <v>37</v>
      </c>
      <c r="D465" s="2" t="s">
        <v>19</v>
      </c>
      <c r="E465" s="2" t="s">
        <v>25</v>
      </c>
      <c r="F465" s="2" t="s">
        <v>34</v>
      </c>
      <c r="G465" s="2" t="s">
        <v>26</v>
      </c>
      <c r="H465" s="2" t="s">
        <v>38</v>
      </c>
      <c r="I465" s="2">
        <v>1</v>
      </c>
      <c r="J465" s="2">
        <v>559.4</v>
      </c>
      <c r="K465" s="2">
        <v>20</v>
      </c>
      <c r="L465" s="2">
        <v>447.52</v>
      </c>
    </row>
    <row r="466" spans="1:12" x14ac:dyDescent="0.35">
      <c r="A466" s="2">
        <v>10465</v>
      </c>
      <c r="B466" s="2">
        <v>1016</v>
      </c>
      <c r="C466" s="2" t="s">
        <v>30</v>
      </c>
      <c r="D466" s="2" t="s">
        <v>19</v>
      </c>
      <c r="E466" s="2" t="s">
        <v>25</v>
      </c>
      <c r="F466" s="2" t="s">
        <v>35</v>
      </c>
      <c r="G466" s="2" t="s">
        <v>16</v>
      </c>
      <c r="H466" s="2" t="s">
        <v>27</v>
      </c>
      <c r="I466" s="2">
        <v>4</v>
      </c>
      <c r="J466" s="2">
        <v>589.44000000000005</v>
      </c>
      <c r="K466" s="2">
        <v>20</v>
      </c>
      <c r="L466" s="2">
        <v>1886.21</v>
      </c>
    </row>
    <row r="467" spans="1:12" x14ac:dyDescent="0.35">
      <c r="A467" s="2">
        <v>10466</v>
      </c>
      <c r="B467" s="2">
        <v>1171</v>
      </c>
      <c r="C467" s="2" t="s">
        <v>13</v>
      </c>
      <c r="D467" s="2" t="s">
        <v>33</v>
      </c>
      <c r="E467" s="2" t="s">
        <v>25</v>
      </c>
      <c r="F467" s="2" t="s">
        <v>29</v>
      </c>
      <c r="G467" s="2" t="s">
        <v>16</v>
      </c>
      <c r="H467" s="2" t="s">
        <v>23</v>
      </c>
      <c r="I467" s="2">
        <v>6</v>
      </c>
      <c r="J467" s="2">
        <v>3773.04</v>
      </c>
      <c r="K467" s="2">
        <v>0</v>
      </c>
      <c r="L467" s="2">
        <v>22638.240000000002</v>
      </c>
    </row>
    <row r="468" spans="1:12" x14ac:dyDescent="0.35">
      <c r="A468" s="2">
        <v>10467</v>
      </c>
      <c r="B468" s="2">
        <v>1219</v>
      </c>
      <c r="C468" s="2" t="s">
        <v>18</v>
      </c>
      <c r="D468" s="2" t="s">
        <v>33</v>
      </c>
      <c r="E468" s="2" t="s">
        <v>14</v>
      </c>
      <c r="F468" s="2" t="s">
        <v>35</v>
      </c>
      <c r="G468" s="2" t="s">
        <v>22</v>
      </c>
      <c r="H468" s="2" t="s">
        <v>23</v>
      </c>
      <c r="I468" s="2">
        <v>4</v>
      </c>
      <c r="J468" s="2">
        <v>3509.72</v>
      </c>
      <c r="K468" s="2">
        <v>15</v>
      </c>
      <c r="L468" s="2">
        <v>11933.05</v>
      </c>
    </row>
    <row r="469" spans="1:12" x14ac:dyDescent="0.35">
      <c r="A469" s="2">
        <v>10468</v>
      </c>
      <c r="B469" s="2">
        <v>1157</v>
      </c>
      <c r="C469" s="2" t="s">
        <v>18</v>
      </c>
      <c r="D469" s="2" t="s">
        <v>13</v>
      </c>
      <c r="E469" s="2" t="s">
        <v>14</v>
      </c>
      <c r="F469" s="2" t="s">
        <v>15</v>
      </c>
      <c r="G469" s="2" t="s">
        <v>42</v>
      </c>
      <c r="H469" s="2" t="s">
        <v>36</v>
      </c>
      <c r="I469" s="2">
        <v>9</v>
      </c>
      <c r="J469" s="2">
        <v>1890.53</v>
      </c>
      <c r="K469" s="2">
        <v>15</v>
      </c>
      <c r="L469" s="2">
        <v>14462.55</v>
      </c>
    </row>
    <row r="470" spans="1:12" x14ac:dyDescent="0.35">
      <c r="A470" s="2">
        <v>10469</v>
      </c>
      <c r="B470" s="2">
        <v>1476</v>
      </c>
      <c r="C470" s="2" t="s">
        <v>12</v>
      </c>
      <c r="D470" s="2" t="s">
        <v>33</v>
      </c>
      <c r="E470" s="2" t="s">
        <v>25</v>
      </c>
      <c r="F470" s="2" t="s">
        <v>15</v>
      </c>
      <c r="G470" s="2" t="s">
        <v>26</v>
      </c>
      <c r="H470" s="2" t="s">
        <v>36</v>
      </c>
      <c r="I470" s="2">
        <v>5</v>
      </c>
      <c r="J470" s="2">
        <v>3945.35</v>
      </c>
      <c r="K470" s="2">
        <v>5</v>
      </c>
      <c r="L470" s="2">
        <v>18740.41</v>
      </c>
    </row>
    <row r="471" spans="1:12" x14ac:dyDescent="0.35">
      <c r="A471" s="2">
        <v>10470</v>
      </c>
      <c r="B471" s="2">
        <v>1045</v>
      </c>
      <c r="C471" s="2" t="s">
        <v>28</v>
      </c>
      <c r="D471" s="2" t="s">
        <v>24</v>
      </c>
      <c r="E471" s="2" t="s">
        <v>25</v>
      </c>
      <c r="F471" s="2" t="s">
        <v>15</v>
      </c>
      <c r="G471" s="2" t="s">
        <v>22</v>
      </c>
      <c r="H471" s="2" t="s">
        <v>23</v>
      </c>
      <c r="I471" s="2">
        <v>8</v>
      </c>
      <c r="J471" s="2">
        <v>150.72</v>
      </c>
      <c r="K471" s="2">
        <v>5</v>
      </c>
      <c r="L471" s="2">
        <v>1145.47</v>
      </c>
    </row>
    <row r="472" spans="1:12" x14ac:dyDescent="0.35">
      <c r="A472" s="2">
        <v>10471</v>
      </c>
      <c r="B472" s="2">
        <v>1372</v>
      </c>
      <c r="C472" s="2" t="s">
        <v>30</v>
      </c>
      <c r="D472" s="2" t="s">
        <v>41</v>
      </c>
      <c r="E472" s="2" t="s">
        <v>14</v>
      </c>
      <c r="F472" s="2" t="s">
        <v>35</v>
      </c>
      <c r="G472" s="2" t="s">
        <v>26</v>
      </c>
      <c r="H472" s="2" t="s">
        <v>27</v>
      </c>
      <c r="I472" s="2">
        <v>9</v>
      </c>
      <c r="J472" s="2">
        <v>2513.8200000000002</v>
      </c>
      <c r="K472" s="2">
        <v>5</v>
      </c>
      <c r="L472" s="2">
        <v>21493.16</v>
      </c>
    </row>
    <row r="473" spans="1:12" x14ac:dyDescent="0.35">
      <c r="A473" s="2">
        <v>10472</v>
      </c>
      <c r="B473" s="2">
        <v>1517</v>
      </c>
      <c r="C473" s="2" t="s">
        <v>12</v>
      </c>
      <c r="D473" s="2" t="s">
        <v>41</v>
      </c>
      <c r="E473" s="2" t="s">
        <v>25</v>
      </c>
      <c r="F473" s="2" t="s">
        <v>29</v>
      </c>
      <c r="G473" s="2" t="s">
        <v>26</v>
      </c>
      <c r="H473" s="2" t="s">
        <v>23</v>
      </c>
      <c r="I473" s="2">
        <v>5</v>
      </c>
      <c r="J473" s="2">
        <v>2523.25</v>
      </c>
      <c r="K473" s="2">
        <v>10</v>
      </c>
      <c r="L473" s="2">
        <v>11354.63</v>
      </c>
    </row>
    <row r="474" spans="1:12" x14ac:dyDescent="0.35">
      <c r="A474" s="2">
        <v>10473</v>
      </c>
      <c r="B474" s="2">
        <v>1098</v>
      </c>
      <c r="C474" s="2" t="s">
        <v>37</v>
      </c>
      <c r="D474" s="2" t="s">
        <v>41</v>
      </c>
      <c r="E474" s="2" t="s">
        <v>25</v>
      </c>
      <c r="F474" s="2" t="s">
        <v>15</v>
      </c>
      <c r="G474" s="2" t="s">
        <v>26</v>
      </c>
      <c r="H474" s="2" t="s">
        <v>27</v>
      </c>
      <c r="I474" s="2">
        <v>6</v>
      </c>
      <c r="J474" s="2">
        <v>1911.16</v>
      </c>
      <c r="K474" s="2">
        <v>5</v>
      </c>
      <c r="L474" s="2">
        <v>10893.61</v>
      </c>
    </row>
    <row r="475" spans="1:12" x14ac:dyDescent="0.35">
      <c r="A475" s="2">
        <v>10474</v>
      </c>
      <c r="B475" s="2">
        <v>1891</v>
      </c>
      <c r="C475" s="2" t="s">
        <v>37</v>
      </c>
      <c r="D475" s="2" t="s">
        <v>13</v>
      </c>
      <c r="E475" s="2" t="s">
        <v>14</v>
      </c>
      <c r="F475" s="2" t="s">
        <v>29</v>
      </c>
      <c r="G475" s="2" t="s">
        <v>22</v>
      </c>
      <c r="H475" s="2" t="s">
        <v>36</v>
      </c>
      <c r="I475" s="2">
        <v>1</v>
      </c>
      <c r="J475" s="2">
        <v>1678.25</v>
      </c>
      <c r="K475" s="2">
        <v>15</v>
      </c>
      <c r="L475" s="2">
        <v>1426.51</v>
      </c>
    </row>
    <row r="476" spans="1:12" x14ac:dyDescent="0.35">
      <c r="A476" s="2">
        <v>10475</v>
      </c>
      <c r="B476" s="2">
        <v>1744</v>
      </c>
      <c r="C476" s="2" t="s">
        <v>37</v>
      </c>
      <c r="D476" s="2" t="s">
        <v>13</v>
      </c>
      <c r="E476" s="2" t="s">
        <v>25</v>
      </c>
      <c r="F476" s="2" t="s">
        <v>35</v>
      </c>
      <c r="G476" s="2" t="s">
        <v>16</v>
      </c>
      <c r="H476" s="2" t="s">
        <v>17</v>
      </c>
      <c r="I476" s="2">
        <v>7</v>
      </c>
      <c r="J476" s="2">
        <v>1903.23</v>
      </c>
      <c r="K476" s="2">
        <v>10</v>
      </c>
      <c r="L476" s="2">
        <v>11990.35</v>
      </c>
    </row>
    <row r="477" spans="1:12" x14ac:dyDescent="0.35">
      <c r="A477" s="2">
        <v>10476</v>
      </c>
      <c r="B477" s="2">
        <v>1036</v>
      </c>
      <c r="C477" s="2" t="s">
        <v>37</v>
      </c>
      <c r="D477" s="2" t="s">
        <v>31</v>
      </c>
      <c r="E477" s="2" t="s">
        <v>25</v>
      </c>
      <c r="F477" s="2" t="s">
        <v>29</v>
      </c>
      <c r="G477" s="2" t="s">
        <v>16</v>
      </c>
      <c r="H477" s="2" t="s">
        <v>36</v>
      </c>
      <c r="I477" s="2">
        <v>4</v>
      </c>
      <c r="J477" s="2">
        <v>1747.6</v>
      </c>
      <c r="K477" s="2">
        <v>20</v>
      </c>
      <c r="L477" s="2">
        <v>5592.32</v>
      </c>
    </row>
    <row r="478" spans="1:12" x14ac:dyDescent="0.35">
      <c r="A478" s="2">
        <v>10477</v>
      </c>
      <c r="B478" s="2">
        <v>1279</v>
      </c>
      <c r="C478" s="2" t="s">
        <v>28</v>
      </c>
      <c r="D478" s="2" t="s">
        <v>41</v>
      </c>
      <c r="E478" s="2" t="s">
        <v>25</v>
      </c>
      <c r="F478" s="2" t="s">
        <v>35</v>
      </c>
      <c r="G478" s="2" t="s">
        <v>26</v>
      </c>
      <c r="H478" s="2" t="s">
        <v>36</v>
      </c>
      <c r="I478" s="2">
        <v>2</v>
      </c>
      <c r="J478" s="2">
        <v>2962.4</v>
      </c>
      <c r="K478" s="2">
        <v>0</v>
      </c>
      <c r="L478" s="2">
        <v>5924.8</v>
      </c>
    </row>
    <row r="479" spans="1:12" x14ac:dyDescent="0.35">
      <c r="A479" s="2">
        <v>10478</v>
      </c>
      <c r="B479" s="2">
        <v>1348</v>
      </c>
      <c r="C479" s="2" t="s">
        <v>30</v>
      </c>
      <c r="D479" s="2" t="s">
        <v>24</v>
      </c>
      <c r="E479" s="2" t="s">
        <v>14</v>
      </c>
      <c r="F479" s="2" t="s">
        <v>35</v>
      </c>
      <c r="G479" s="2" t="s">
        <v>42</v>
      </c>
      <c r="H479" s="2" t="s">
        <v>38</v>
      </c>
      <c r="I479" s="2">
        <v>5</v>
      </c>
      <c r="J479" s="2">
        <v>671.12</v>
      </c>
      <c r="K479" s="2">
        <v>5</v>
      </c>
      <c r="L479" s="2">
        <v>3187.82</v>
      </c>
    </row>
    <row r="480" spans="1:12" x14ac:dyDescent="0.35">
      <c r="A480" s="2">
        <v>10479</v>
      </c>
      <c r="B480" s="2">
        <v>1496</v>
      </c>
      <c r="C480" s="2" t="s">
        <v>32</v>
      </c>
      <c r="D480" s="2" t="s">
        <v>33</v>
      </c>
      <c r="E480" s="2" t="s">
        <v>25</v>
      </c>
      <c r="F480" s="2" t="s">
        <v>34</v>
      </c>
      <c r="G480" s="2" t="s">
        <v>39</v>
      </c>
      <c r="H480" s="2" t="s">
        <v>38</v>
      </c>
      <c r="I480" s="2">
        <v>3</v>
      </c>
      <c r="J480" s="2">
        <v>910.91</v>
      </c>
      <c r="K480" s="2">
        <v>20</v>
      </c>
      <c r="L480" s="2">
        <v>2186.1799999999998</v>
      </c>
    </row>
    <row r="481" spans="1:12" x14ac:dyDescent="0.35">
      <c r="A481" s="2">
        <v>10480</v>
      </c>
      <c r="B481" s="2">
        <v>1301</v>
      </c>
      <c r="C481" s="2" t="s">
        <v>13</v>
      </c>
      <c r="D481" s="2" t="s">
        <v>24</v>
      </c>
      <c r="E481" s="2" t="s">
        <v>14</v>
      </c>
      <c r="F481" s="2" t="s">
        <v>35</v>
      </c>
      <c r="G481" s="2" t="s">
        <v>22</v>
      </c>
      <c r="H481" s="2" t="s">
        <v>38</v>
      </c>
      <c r="I481" s="2">
        <v>6</v>
      </c>
      <c r="J481" s="2">
        <v>845</v>
      </c>
      <c r="K481" s="2">
        <v>15</v>
      </c>
      <c r="L481" s="2">
        <v>4309.5</v>
      </c>
    </row>
    <row r="482" spans="1:12" x14ac:dyDescent="0.35">
      <c r="A482" s="2">
        <v>10481</v>
      </c>
      <c r="B482" s="2">
        <v>1180</v>
      </c>
      <c r="C482" s="2" t="s">
        <v>28</v>
      </c>
      <c r="D482" s="2" t="s">
        <v>33</v>
      </c>
      <c r="E482" s="2" t="s">
        <v>14</v>
      </c>
      <c r="F482" s="2" t="s">
        <v>35</v>
      </c>
      <c r="G482" s="2" t="s">
        <v>39</v>
      </c>
      <c r="H482" s="2" t="s">
        <v>38</v>
      </c>
      <c r="I482" s="2">
        <v>8</v>
      </c>
      <c r="J482" s="2">
        <v>1160.51</v>
      </c>
      <c r="K482" s="2">
        <v>0</v>
      </c>
      <c r="L482" s="2">
        <v>9284.08</v>
      </c>
    </row>
    <row r="483" spans="1:12" x14ac:dyDescent="0.35">
      <c r="A483" s="2">
        <v>10482</v>
      </c>
      <c r="B483" s="2">
        <v>1606</v>
      </c>
      <c r="C483" s="2" t="s">
        <v>28</v>
      </c>
      <c r="D483" s="2" t="s">
        <v>41</v>
      </c>
      <c r="E483" s="2" t="s">
        <v>20</v>
      </c>
      <c r="F483" s="2" t="s">
        <v>21</v>
      </c>
      <c r="G483" s="2" t="s">
        <v>42</v>
      </c>
      <c r="H483" s="2" t="s">
        <v>27</v>
      </c>
      <c r="I483" s="2">
        <v>7</v>
      </c>
      <c r="J483" s="2">
        <v>2172.2399999999998</v>
      </c>
      <c r="K483" s="2">
        <v>20</v>
      </c>
      <c r="L483" s="2">
        <v>12164.54</v>
      </c>
    </row>
    <row r="484" spans="1:12" x14ac:dyDescent="0.35">
      <c r="A484" s="2">
        <v>10483</v>
      </c>
      <c r="B484" s="2">
        <v>1098</v>
      </c>
      <c r="C484" s="2" t="s">
        <v>32</v>
      </c>
      <c r="D484" s="2" t="s">
        <v>41</v>
      </c>
      <c r="E484" s="2" t="s">
        <v>20</v>
      </c>
      <c r="F484" s="2" t="s">
        <v>15</v>
      </c>
      <c r="G484" s="2" t="s">
        <v>22</v>
      </c>
      <c r="H484" s="2" t="s">
        <v>23</v>
      </c>
      <c r="I484" s="2">
        <v>3</v>
      </c>
      <c r="J484" s="2">
        <v>578.15</v>
      </c>
      <c r="K484" s="2">
        <v>0</v>
      </c>
      <c r="L484" s="2">
        <v>1734.45</v>
      </c>
    </row>
    <row r="485" spans="1:12" x14ac:dyDescent="0.35">
      <c r="A485" s="2">
        <v>10484</v>
      </c>
      <c r="B485" s="2">
        <v>1699</v>
      </c>
      <c r="C485" s="2" t="s">
        <v>32</v>
      </c>
      <c r="D485" s="2" t="s">
        <v>41</v>
      </c>
      <c r="E485" s="2" t="s">
        <v>25</v>
      </c>
      <c r="F485" s="2" t="s">
        <v>34</v>
      </c>
      <c r="G485" s="2" t="s">
        <v>26</v>
      </c>
      <c r="H485" s="2" t="s">
        <v>17</v>
      </c>
      <c r="I485" s="2">
        <v>8</v>
      </c>
      <c r="J485" s="2">
        <v>3492.45</v>
      </c>
      <c r="K485" s="2">
        <v>5</v>
      </c>
      <c r="L485" s="2">
        <v>26542.62</v>
      </c>
    </row>
    <row r="486" spans="1:12" x14ac:dyDescent="0.35">
      <c r="A486" s="2">
        <v>10485</v>
      </c>
      <c r="B486" s="2">
        <v>1992</v>
      </c>
      <c r="C486" s="2" t="s">
        <v>13</v>
      </c>
      <c r="D486" s="2" t="s">
        <v>13</v>
      </c>
      <c r="E486" s="2" t="s">
        <v>14</v>
      </c>
      <c r="F486" s="2" t="s">
        <v>34</v>
      </c>
      <c r="G486" s="2" t="s">
        <v>16</v>
      </c>
      <c r="H486" s="2" t="s">
        <v>36</v>
      </c>
      <c r="I486" s="2">
        <v>2</v>
      </c>
      <c r="J486" s="2">
        <v>1294.8399999999999</v>
      </c>
      <c r="K486" s="2">
        <v>15</v>
      </c>
      <c r="L486" s="2">
        <v>2201.23</v>
      </c>
    </row>
    <row r="487" spans="1:12" x14ac:dyDescent="0.35">
      <c r="A487" s="2">
        <v>10486</v>
      </c>
      <c r="B487" s="2">
        <v>1115</v>
      </c>
      <c r="C487" s="2" t="s">
        <v>13</v>
      </c>
      <c r="D487" s="2" t="s">
        <v>33</v>
      </c>
      <c r="E487" s="2" t="s">
        <v>20</v>
      </c>
      <c r="F487" s="2" t="s">
        <v>34</v>
      </c>
      <c r="G487" s="2" t="s">
        <v>39</v>
      </c>
      <c r="H487" s="2" t="s">
        <v>27</v>
      </c>
      <c r="I487" s="2">
        <v>9</v>
      </c>
      <c r="J487" s="2">
        <v>775.77</v>
      </c>
      <c r="K487" s="2">
        <v>0</v>
      </c>
      <c r="L487" s="2">
        <v>6981.93</v>
      </c>
    </row>
    <row r="488" spans="1:12" x14ac:dyDescent="0.35">
      <c r="A488" s="2">
        <v>10487</v>
      </c>
      <c r="B488" s="2">
        <v>1190</v>
      </c>
      <c r="C488" s="2" t="s">
        <v>32</v>
      </c>
      <c r="D488" s="2" t="s">
        <v>13</v>
      </c>
      <c r="E488" s="2" t="s">
        <v>25</v>
      </c>
      <c r="F488" s="2" t="s">
        <v>21</v>
      </c>
      <c r="G488" s="2" t="s">
        <v>40</v>
      </c>
      <c r="H488" s="2" t="s">
        <v>17</v>
      </c>
      <c r="I488" s="2">
        <v>4</v>
      </c>
      <c r="J488" s="2">
        <v>2751.14</v>
      </c>
      <c r="K488" s="2">
        <v>20</v>
      </c>
      <c r="L488" s="2">
        <v>8803.65</v>
      </c>
    </row>
    <row r="489" spans="1:12" x14ac:dyDescent="0.35">
      <c r="A489" s="2">
        <v>10488</v>
      </c>
      <c r="B489" s="2">
        <v>1252</v>
      </c>
      <c r="C489" s="2" t="s">
        <v>37</v>
      </c>
      <c r="D489" s="2" t="s">
        <v>13</v>
      </c>
      <c r="E489" s="2" t="s">
        <v>20</v>
      </c>
      <c r="F489" s="2" t="s">
        <v>35</v>
      </c>
      <c r="G489" s="2" t="s">
        <v>40</v>
      </c>
      <c r="H489" s="2" t="s">
        <v>27</v>
      </c>
      <c r="I489" s="2">
        <v>1</v>
      </c>
      <c r="J489" s="2">
        <v>296.63</v>
      </c>
      <c r="K489" s="2">
        <v>5</v>
      </c>
      <c r="L489" s="2">
        <v>281.8</v>
      </c>
    </row>
    <row r="490" spans="1:12" x14ac:dyDescent="0.35">
      <c r="A490" s="2">
        <v>10489</v>
      </c>
      <c r="B490" s="2">
        <v>1980</v>
      </c>
      <c r="C490" s="2" t="s">
        <v>28</v>
      </c>
      <c r="D490" s="2" t="s">
        <v>19</v>
      </c>
      <c r="E490" s="2" t="s">
        <v>20</v>
      </c>
      <c r="F490" s="2" t="s">
        <v>15</v>
      </c>
      <c r="G490" s="2" t="s">
        <v>42</v>
      </c>
      <c r="H490" s="2" t="s">
        <v>27</v>
      </c>
      <c r="I490" s="2">
        <v>8</v>
      </c>
      <c r="J490" s="2">
        <v>2536.88</v>
      </c>
      <c r="K490" s="2">
        <v>5</v>
      </c>
      <c r="L490" s="2">
        <v>19280.29</v>
      </c>
    </row>
    <row r="491" spans="1:12" x14ac:dyDescent="0.35">
      <c r="A491" s="2">
        <v>10490</v>
      </c>
      <c r="B491" s="2">
        <v>1927</v>
      </c>
      <c r="C491" s="2" t="s">
        <v>12</v>
      </c>
      <c r="D491" s="2" t="s">
        <v>24</v>
      </c>
      <c r="E491" s="2" t="s">
        <v>14</v>
      </c>
      <c r="F491" s="2" t="s">
        <v>29</v>
      </c>
      <c r="G491" s="2" t="s">
        <v>26</v>
      </c>
      <c r="H491" s="2" t="s">
        <v>36</v>
      </c>
      <c r="I491" s="2">
        <v>7</v>
      </c>
      <c r="J491" s="2">
        <v>2838.06</v>
      </c>
      <c r="K491" s="2">
        <v>20</v>
      </c>
      <c r="L491" s="2">
        <v>15893.14</v>
      </c>
    </row>
    <row r="492" spans="1:12" x14ac:dyDescent="0.35">
      <c r="A492" s="2">
        <v>10491</v>
      </c>
      <c r="B492" s="2">
        <v>1982</v>
      </c>
      <c r="C492" s="2" t="s">
        <v>13</v>
      </c>
      <c r="D492" s="2" t="s">
        <v>24</v>
      </c>
      <c r="E492" s="2" t="s">
        <v>14</v>
      </c>
      <c r="F492" s="2" t="s">
        <v>35</v>
      </c>
      <c r="G492" s="2" t="s">
        <v>39</v>
      </c>
      <c r="H492" s="2" t="s">
        <v>23</v>
      </c>
      <c r="I492" s="2">
        <v>5</v>
      </c>
      <c r="J492" s="2">
        <v>977.43</v>
      </c>
      <c r="K492" s="2">
        <v>20</v>
      </c>
      <c r="L492" s="2">
        <v>3909.72</v>
      </c>
    </row>
    <row r="493" spans="1:12" x14ac:dyDescent="0.35">
      <c r="A493" s="2">
        <v>10492</v>
      </c>
      <c r="B493" s="2">
        <v>1160</v>
      </c>
      <c r="C493" s="2" t="s">
        <v>13</v>
      </c>
      <c r="D493" s="2" t="s">
        <v>31</v>
      </c>
      <c r="E493" s="2" t="s">
        <v>20</v>
      </c>
      <c r="F493" s="2" t="s">
        <v>21</v>
      </c>
      <c r="G493" s="2" t="s">
        <v>26</v>
      </c>
      <c r="H493" s="2" t="s">
        <v>38</v>
      </c>
      <c r="I493" s="2">
        <v>5</v>
      </c>
      <c r="J493" s="2">
        <v>311.56</v>
      </c>
      <c r="K493" s="2">
        <v>0</v>
      </c>
      <c r="L493" s="2">
        <v>1557.8</v>
      </c>
    </row>
    <row r="494" spans="1:12" x14ac:dyDescent="0.35">
      <c r="A494" s="2">
        <v>10493</v>
      </c>
      <c r="B494" s="2">
        <v>1255</v>
      </c>
      <c r="C494" s="2" t="s">
        <v>32</v>
      </c>
      <c r="D494" s="2" t="s">
        <v>13</v>
      </c>
      <c r="E494" s="2" t="s">
        <v>20</v>
      </c>
      <c r="F494" s="2" t="s">
        <v>35</v>
      </c>
      <c r="G494" s="2" t="s">
        <v>39</v>
      </c>
      <c r="H494" s="2" t="s">
        <v>23</v>
      </c>
      <c r="I494" s="2">
        <v>7</v>
      </c>
      <c r="J494" s="2">
        <v>1550.03</v>
      </c>
      <c r="K494" s="2">
        <v>10</v>
      </c>
      <c r="L494" s="2">
        <v>9765.19</v>
      </c>
    </row>
    <row r="495" spans="1:12" x14ac:dyDescent="0.35">
      <c r="A495" s="2">
        <v>10494</v>
      </c>
      <c r="B495" s="2">
        <v>1322</v>
      </c>
      <c r="C495" s="2" t="s">
        <v>30</v>
      </c>
      <c r="D495" s="2" t="s">
        <v>33</v>
      </c>
      <c r="E495" s="2" t="s">
        <v>14</v>
      </c>
      <c r="F495" s="2" t="s">
        <v>35</v>
      </c>
      <c r="G495" s="2" t="s">
        <v>42</v>
      </c>
      <c r="H495" s="2" t="s">
        <v>36</v>
      </c>
      <c r="I495" s="2">
        <v>5</v>
      </c>
      <c r="J495" s="2">
        <v>529.59</v>
      </c>
      <c r="K495" s="2">
        <v>5</v>
      </c>
      <c r="L495" s="2">
        <v>2515.5500000000002</v>
      </c>
    </row>
    <row r="496" spans="1:12" x14ac:dyDescent="0.35">
      <c r="A496" s="2">
        <v>10495</v>
      </c>
      <c r="B496" s="2">
        <v>1127</v>
      </c>
      <c r="C496" s="2" t="s">
        <v>12</v>
      </c>
      <c r="D496" s="2" t="s">
        <v>19</v>
      </c>
      <c r="E496" s="2" t="s">
        <v>25</v>
      </c>
      <c r="F496" s="2" t="s">
        <v>21</v>
      </c>
      <c r="G496" s="2" t="s">
        <v>42</v>
      </c>
      <c r="H496" s="2" t="s">
        <v>36</v>
      </c>
      <c r="I496" s="2">
        <v>8</v>
      </c>
      <c r="J496" s="2">
        <v>598.44000000000005</v>
      </c>
      <c r="K496" s="2">
        <v>0</v>
      </c>
      <c r="L496" s="2">
        <v>4787.5200000000004</v>
      </c>
    </row>
    <row r="497" spans="1:12" x14ac:dyDescent="0.35">
      <c r="A497" s="2">
        <v>10496</v>
      </c>
      <c r="B497" s="2">
        <v>1017</v>
      </c>
      <c r="C497" s="2" t="s">
        <v>12</v>
      </c>
      <c r="D497" s="2" t="s">
        <v>19</v>
      </c>
      <c r="E497" s="2" t="s">
        <v>14</v>
      </c>
      <c r="F497" s="2" t="s">
        <v>34</v>
      </c>
      <c r="G497" s="2" t="s">
        <v>40</v>
      </c>
      <c r="H497" s="2" t="s">
        <v>36</v>
      </c>
      <c r="I497" s="2">
        <v>6</v>
      </c>
      <c r="J497" s="2">
        <v>1128.9100000000001</v>
      </c>
      <c r="K497" s="2">
        <v>20</v>
      </c>
      <c r="L497" s="2">
        <v>5418.77</v>
      </c>
    </row>
    <row r="498" spans="1:12" x14ac:dyDescent="0.35">
      <c r="A498" s="2">
        <v>10497</v>
      </c>
      <c r="B498" s="2">
        <v>1792</v>
      </c>
      <c r="C498" s="2" t="s">
        <v>13</v>
      </c>
      <c r="D498" s="2" t="s">
        <v>24</v>
      </c>
      <c r="E498" s="2" t="s">
        <v>20</v>
      </c>
      <c r="F498" s="2" t="s">
        <v>34</v>
      </c>
      <c r="G498" s="2" t="s">
        <v>26</v>
      </c>
      <c r="H498" s="2" t="s">
        <v>17</v>
      </c>
      <c r="I498" s="2">
        <v>5</v>
      </c>
      <c r="J498" s="2">
        <v>1287.55</v>
      </c>
      <c r="K498" s="2">
        <v>0</v>
      </c>
      <c r="L498" s="2">
        <v>6437.75</v>
      </c>
    </row>
    <row r="499" spans="1:12" x14ac:dyDescent="0.35">
      <c r="A499" s="2">
        <v>10498</v>
      </c>
      <c r="B499" s="2">
        <v>1734</v>
      </c>
      <c r="C499" s="2" t="s">
        <v>37</v>
      </c>
      <c r="D499" s="2" t="s">
        <v>13</v>
      </c>
      <c r="E499" s="2" t="s">
        <v>25</v>
      </c>
      <c r="F499" s="2" t="s">
        <v>15</v>
      </c>
      <c r="G499" s="2" t="s">
        <v>22</v>
      </c>
      <c r="H499" s="2" t="s">
        <v>23</v>
      </c>
      <c r="I499" s="2">
        <v>9</v>
      </c>
      <c r="J499" s="2">
        <v>2190.39</v>
      </c>
      <c r="K499" s="2">
        <v>20</v>
      </c>
      <c r="L499" s="2">
        <v>15770.81</v>
      </c>
    </row>
    <row r="500" spans="1:12" x14ac:dyDescent="0.35">
      <c r="A500" s="2">
        <v>10499</v>
      </c>
      <c r="B500" s="2">
        <v>1565</v>
      </c>
      <c r="C500" s="2" t="s">
        <v>30</v>
      </c>
      <c r="D500" s="2" t="s">
        <v>31</v>
      </c>
      <c r="E500" s="2" t="s">
        <v>20</v>
      </c>
      <c r="F500" s="2" t="s">
        <v>15</v>
      </c>
      <c r="G500" s="2" t="s">
        <v>40</v>
      </c>
      <c r="H500" s="2" t="s">
        <v>23</v>
      </c>
      <c r="I500" s="2">
        <v>2</v>
      </c>
      <c r="J500" s="2">
        <v>2761.81</v>
      </c>
      <c r="K500" s="2">
        <v>15</v>
      </c>
      <c r="L500" s="2">
        <v>4695.08</v>
      </c>
    </row>
    <row r="501" spans="1:12" x14ac:dyDescent="0.35">
      <c r="A501" s="2">
        <v>10500</v>
      </c>
      <c r="B501" s="2">
        <v>1569</v>
      </c>
      <c r="C501" s="2" t="s">
        <v>12</v>
      </c>
      <c r="D501" s="2" t="s">
        <v>13</v>
      </c>
      <c r="E501" s="2" t="s">
        <v>25</v>
      </c>
      <c r="F501" s="2" t="s">
        <v>34</v>
      </c>
      <c r="G501" s="2" t="s">
        <v>26</v>
      </c>
      <c r="H501" s="2" t="s">
        <v>27</v>
      </c>
      <c r="I501" s="2">
        <v>1</v>
      </c>
      <c r="J501" s="2">
        <v>2432.17</v>
      </c>
      <c r="K501" s="2">
        <v>20</v>
      </c>
      <c r="L501" s="2">
        <v>1945.74</v>
      </c>
    </row>
  </sheetData>
  <dataValidations count="1">
    <dataValidation type="list" allowBlank="1" showInputMessage="1" showErrorMessage="1" sqref="N19" xr:uid="{6BAF1FFC-2594-4B4A-81CB-E9BC9291FD46}">
      <formula1>$A$2:$A$501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53A68-F83E-4C1A-B88C-FD2E1ADC5932}">
  <dimension ref="A1:AD501"/>
  <sheetViews>
    <sheetView tabSelected="1" topLeftCell="O1" workbookViewId="0">
      <selection activeCell="T5" sqref="T5"/>
    </sheetView>
  </sheetViews>
  <sheetFormatPr defaultRowHeight="14.5" x14ac:dyDescent="0.35"/>
  <cols>
    <col min="2" max="2" width="9.36328125" bestFit="1" customWidth="1"/>
    <col min="3" max="3" width="9.08984375" bestFit="1" customWidth="1"/>
    <col min="4" max="4" width="13.6328125" bestFit="1" customWidth="1"/>
    <col min="11" max="11" width="9.26953125" bestFit="1" customWidth="1"/>
    <col min="12" max="12" width="27.7265625" bestFit="1" customWidth="1"/>
    <col min="22" max="22" width="3.08984375" customWidth="1"/>
    <col min="23" max="23" width="4.453125" customWidth="1"/>
    <col min="25" max="25" width="10.08984375" bestFit="1" customWidth="1"/>
  </cols>
  <sheetData>
    <row r="1" spans="1:29" x14ac:dyDescent="0.35">
      <c r="A1" s="5" t="s">
        <v>1550</v>
      </c>
      <c r="B1" s="5" t="s">
        <v>1555</v>
      </c>
      <c r="C1" s="5" t="s">
        <v>1556</v>
      </c>
      <c r="D1" s="11" t="s">
        <v>1565</v>
      </c>
      <c r="E1" s="5" t="s">
        <v>1557</v>
      </c>
      <c r="F1" s="5" t="s">
        <v>1558</v>
      </c>
      <c r="G1" s="5" t="s">
        <v>1559</v>
      </c>
      <c r="H1" s="5" t="s">
        <v>1560</v>
      </c>
      <c r="I1" s="5" t="s">
        <v>1561</v>
      </c>
      <c r="J1" s="5" t="s">
        <v>1562</v>
      </c>
      <c r="K1" s="5" t="s">
        <v>2</v>
      </c>
      <c r="L1" s="5" t="s">
        <v>1563</v>
      </c>
      <c r="M1" s="5" t="s">
        <v>1564</v>
      </c>
      <c r="N1" s="9" t="s">
        <v>76</v>
      </c>
      <c r="O1" s="12" t="s">
        <v>1584</v>
      </c>
    </row>
    <row r="2" spans="1:29" x14ac:dyDescent="0.35">
      <c r="A2" s="6" t="s">
        <v>54</v>
      </c>
      <c r="B2" s="6" t="s">
        <v>55</v>
      </c>
      <c r="C2" s="6" t="s">
        <v>56</v>
      </c>
      <c r="D2" s="8" t="str">
        <f>UPPER(_xlfn.CONCAT(B2," ",C2))</f>
        <v>AMIT DUTTA</v>
      </c>
      <c r="E2" s="6" t="s">
        <v>57</v>
      </c>
      <c r="F2" s="6">
        <v>30</v>
      </c>
      <c r="G2" s="6" t="s">
        <v>49</v>
      </c>
      <c r="H2" s="6" t="s">
        <v>58</v>
      </c>
      <c r="I2" s="6" t="s">
        <v>59</v>
      </c>
      <c r="J2" s="6">
        <v>105257</v>
      </c>
      <c r="K2" s="6" t="s">
        <v>30</v>
      </c>
      <c r="L2" s="6" t="s">
        <v>60</v>
      </c>
      <c r="M2" s="6" t="s">
        <v>61</v>
      </c>
      <c r="N2" s="10" t="str">
        <f>VLOOKUP(G2,Departments!A1:C6,3,0)</f>
        <v>Alice</v>
      </c>
      <c r="O2" s="13" t="str">
        <f>INDEX(Departments!C1:C6,MATCH(Employees!G2,Departments!A1:A6,0))</f>
        <v>Alice</v>
      </c>
      <c r="Q2" s="36" t="s">
        <v>1566</v>
      </c>
      <c r="R2" s="36"/>
      <c r="S2" s="36"/>
      <c r="T2" s="2">
        <f>COUNTIF(E2:E501,"Female")</f>
        <v>249</v>
      </c>
    </row>
    <row r="3" spans="1:29" x14ac:dyDescent="0.35">
      <c r="A3" s="7" t="s">
        <v>62</v>
      </c>
      <c r="B3" s="7" t="s">
        <v>55</v>
      </c>
      <c r="C3" s="7" t="s">
        <v>63</v>
      </c>
      <c r="D3" s="8" t="str">
        <f t="shared" ref="D3:D66" si="0">UPPER(_xlfn.CONCAT(B3," ",C3))</f>
        <v>AMIT ROY</v>
      </c>
      <c r="E3" s="7" t="s">
        <v>64</v>
      </c>
      <c r="F3" s="7">
        <v>48</v>
      </c>
      <c r="G3" s="7" t="s">
        <v>51</v>
      </c>
      <c r="H3" s="7" t="s">
        <v>65</v>
      </c>
      <c r="I3" s="7" t="s">
        <v>66</v>
      </c>
      <c r="J3" s="7">
        <v>97903</v>
      </c>
      <c r="K3" s="7" t="s">
        <v>30</v>
      </c>
      <c r="L3" s="7" t="s">
        <v>67</v>
      </c>
      <c r="M3" s="7" t="s">
        <v>61</v>
      </c>
      <c r="N3" s="10" t="str">
        <f>VLOOKUP(G3,Departments!A2:C7,3,0)</f>
        <v>Carol</v>
      </c>
      <c r="O3" s="13" t="str">
        <f>INDEX(Departments!C2:C7,MATCH(Employees!G3,Departments!A2:A7,0))</f>
        <v>Carol</v>
      </c>
    </row>
    <row r="4" spans="1:29" x14ac:dyDescent="0.35">
      <c r="A4" s="6" t="s">
        <v>68</v>
      </c>
      <c r="B4" s="6" t="s">
        <v>69</v>
      </c>
      <c r="C4" s="6" t="s">
        <v>63</v>
      </c>
      <c r="D4" s="8" t="str">
        <f t="shared" si="0"/>
        <v>ROHIT ROY</v>
      </c>
      <c r="E4" s="6" t="s">
        <v>64</v>
      </c>
      <c r="F4" s="6">
        <v>48</v>
      </c>
      <c r="G4" s="6" t="s">
        <v>52</v>
      </c>
      <c r="H4" s="6" t="s">
        <v>70</v>
      </c>
      <c r="I4" s="6" t="s">
        <v>71</v>
      </c>
      <c r="J4" s="6">
        <v>73429</v>
      </c>
      <c r="K4" s="6" t="s">
        <v>18</v>
      </c>
      <c r="L4" s="6" t="s">
        <v>72</v>
      </c>
      <c r="M4" s="6" t="s">
        <v>73</v>
      </c>
      <c r="N4" s="10" t="str">
        <f>VLOOKUP(G4,Departments!A3:C8,3,0)</f>
        <v>Dan</v>
      </c>
      <c r="O4" s="13" t="str">
        <f>INDEX(Departments!C3:C8,MATCH(Employees!G4,Departments!A3:A8,0))</f>
        <v>Dan</v>
      </c>
    </row>
    <row r="5" spans="1:29" x14ac:dyDescent="0.35">
      <c r="A5" s="7" t="s">
        <v>74</v>
      </c>
      <c r="B5" s="7" t="s">
        <v>75</v>
      </c>
      <c r="C5" s="7" t="s">
        <v>56</v>
      </c>
      <c r="D5" s="8" t="str">
        <f t="shared" si="0"/>
        <v>DAVID DUTTA</v>
      </c>
      <c r="E5" s="7" t="s">
        <v>57</v>
      </c>
      <c r="F5" s="7">
        <v>50</v>
      </c>
      <c r="G5" s="7" t="s">
        <v>53</v>
      </c>
      <c r="H5" s="7" t="s">
        <v>76</v>
      </c>
      <c r="I5" s="7" t="s">
        <v>77</v>
      </c>
      <c r="J5" s="7">
        <v>99336</v>
      </c>
      <c r="K5" s="7" t="s">
        <v>18</v>
      </c>
      <c r="L5" s="7" t="s">
        <v>78</v>
      </c>
      <c r="M5" s="7" t="s">
        <v>61</v>
      </c>
      <c r="N5" s="10" t="str">
        <f>VLOOKUP(G5,Departments!A4:C9,3,0)</f>
        <v>Eva</v>
      </c>
      <c r="O5" s="13" t="str">
        <f>INDEX(Departments!C4:C9,MATCH(Employees!G5,Departments!A4:A9,0))</f>
        <v>Eva</v>
      </c>
      <c r="Q5" s="35" t="s">
        <v>2</v>
      </c>
      <c r="R5" s="35" t="s">
        <v>1560</v>
      </c>
    </row>
    <row r="6" spans="1:29" x14ac:dyDescent="0.35">
      <c r="A6" s="6" t="s">
        <v>79</v>
      </c>
      <c r="B6" s="6" t="s">
        <v>80</v>
      </c>
      <c r="C6" s="6" t="s">
        <v>81</v>
      </c>
      <c r="D6" s="8" t="str">
        <f t="shared" si="0"/>
        <v>JANE GHOSH</v>
      </c>
      <c r="E6" s="6" t="s">
        <v>64</v>
      </c>
      <c r="F6" s="6">
        <v>60</v>
      </c>
      <c r="G6" s="6" t="s">
        <v>49</v>
      </c>
      <c r="H6" s="6" t="s">
        <v>70</v>
      </c>
      <c r="I6" s="6" t="s">
        <v>82</v>
      </c>
      <c r="J6" s="6">
        <v>105020</v>
      </c>
      <c r="K6" s="6" t="s">
        <v>18</v>
      </c>
      <c r="L6" s="6" t="s">
        <v>83</v>
      </c>
      <c r="M6" s="6" t="s">
        <v>61</v>
      </c>
      <c r="N6" s="10" t="e">
        <f>VLOOKUP(G6,Departments!A5:C10,3,0)</f>
        <v>#N/A</v>
      </c>
      <c r="O6" s="13" t="e">
        <f>INDEX(Departments!C5:C10,MATCH(Employees!G6,Departments!A5:A10,0))</f>
        <v>#N/A</v>
      </c>
      <c r="Q6" s="6" t="s">
        <v>30</v>
      </c>
      <c r="R6" s="6" t="s">
        <v>58</v>
      </c>
    </row>
    <row r="7" spans="1:29" x14ac:dyDescent="0.35">
      <c r="A7" s="7" t="s">
        <v>84</v>
      </c>
      <c r="B7" s="7" t="s">
        <v>85</v>
      </c>
      <c r="C7" s="7" t="s">
        <v>56</v>
      </c>
      <c r="D7" s="8" t="str">
        <f t="shared" si="0"/>
        <v>RAHUL DUTTA</v>
      </c>
      <c r="E7" s="7" t="s">
        <v>64</v>
      </c>
      <c r="F7" s="7">
        <v>33</v>
      </c>
      <c r="G7" s="7" t="s">
        <v>50</v>
      </c>
      <c r="H7" s="7" t="s">
        <v>70</v>
      </c>
      <c r="I7" s="7" t="s">
        <v>86</v>
      </c>
      <c r="J7" s="7">
        <v>93173</v>
      </c>
      <c r="K7" s="7" t="s">
        <v>18</v>
      </c>
      <c r="L7" s="7" t="s">
        <v>87</v>
      </c>
      <c r="M7" s="7" t="s">
        <v>61</v>
      </c>
      <c r="N7" s="10" t="e">
        <f>VLOOKUP(G7,Departments!A6:C11,3,0)</f>
        <v>#N/A</v>
      </c>
      <c r="O7" s="13" t="e">
        <f>INDEX(Departments!C6:C11,MATCH(Employees!G7,Departments!A6:A11,0))</f>
        <v>#N/A</v>
      </c>
    </row>
    <row r="8" spans="1:29" x14ac:dyDescent="0.35">
      <c r="A8" s="6" t="s">
        <v>88</v>
      </c>
      <c r="B8" s="6" t="s">
        <v>89</v>
      </c>
      <c r="C8" s="6" t="s">
        <v>81</v>
      </c>
      <c r="D8" s="8" t="str">
        <f t="shared" si="0"/>
        <v>SARA GHOSH</v>
      </c>
      <c r="E8" s="6" t="s">
        <v>64</v>
      </c>
      <c r="F8" s="6">
        <v>52</v>
      </c>
      <c r="G8" s="6" t="s">
        <v>53</v>
      </c>
      <c r="H8" s="6" t="s">
        <v>58</v>
      </c>
      <c r="I8" s="6" t="s">
        <v>90</v>
      </c>
      <c r="J8" s="6">
        <v>106626</v>
      </c>
      <c r="K8" s="6" t="s">
        <v>18</v>
      </c>
      <c r="L8" s="6" t="s">
        <v>91</v>
      </c>
      <c r="M8" s="6" t="s">
        <v>61</v>
      </c>
      <c r="N8" s="10" t="e">
        <f>VLOOKUP(G8,Departments!A7:C12,3,0)</f>
        <v>#N/A</v>
      </c>
      <c r="O8" s="13" t="e">
        <f>INDEX(Departments!C7:C12,MATCH(Employees!G8,Departments!A7:A12,0))</f>
        <v>#N/A</v>
      </c>
      <c r="Q8" s="35" t="s">
        <v>1550</v>
      </c>
      <c r="R8" s="35" t="s">
        <v>1555</v>
      </c>
      <c r="S8" s="35" t="s">
        <v>1556</v>
      </c>
      <c r="T8" s="35" t="s">
        <v>1565</v>
      </c>
      <c r="U8" s="35" t="s">
        <v>1557</v>
      </c>
      <c r="V8" s="35" t="s">
        <v>1558</v>
      </c>
      <c r="W8" s="35" t="s">
        <v>1559</v>
      </c>
      <c r="X8" s="35" t="s">
        <v>1560</v>
      </c>
      <c r="Y8" s="35" t="s">
        <v>1561</v>
      </c>
      <c r="Z8" s="35" t="s">
        <v>1562</v>
      </c>
      <c r="AA8" s="35" t="s">
        <v>2</v>
      </c>
      <c r="AB8" s="35" t="s">
        <v>1563</v>
      </c>
      <c r="AC8" s="35" t="s">
        <v>1564</v>
      </c>
    </row>
    <row r="9" spans="1:29" x14ac:dyDescent="0.35">
      <c r="A9" s="7" t="s">
        <v>92</v>
      </c>
      <c r="B9" s="7" t="s">
        <v>93</v>
      </c>
      <c r="C9" s="7" t="s">
        <v>56</v>
      </c>
      <c r="D9" s="8" t="str">
        <f t="shared" si="0"/>
        <v>JOHN DUTTA</v>
      </c>
      <c r="E9" s="7" t="s">
        <v>57</v>
      </c>
      <c r="F9" s="7">
        <v>42</v>
      </c>
      <c r="G9" s="7" t="s">
        <v>50</v>
      </c>
      <c r="H9" s="7" t="s">
        <v>76</v>
      </c>
      <c r="I9" s="7" t="s">
        <v>94</v>
      </c>
      <c r="J9" s="7">
        <v>114547</v>
      </c>
      <c r="K9" s="7" t="s">
        <v>13</v>
      </c>
      <c r="L9" s="7" t="s">
        <v>95</v>
      </c>
      <c r="M9" s="7" t="s">
        <v>73</v>
      </c>
      <c r="N9" s="10" t="e">
        <f>VLOOKUP(G9,Departments!A8:C13,3,0)</f>
        <v>#N/A</v>
      </c>
      <c r="O9" s="13" t="e">
        <f>INDEX(Departments!C8:C13,MATCH(Employees!G9,Departments!A8:A13,0))</f>
        <v>#N/A</v>
      </c>
      <c r="Q9" s="6" t="s">
        <v>54</v>
      </c>
      <c r="R9" s="6" t="s">
        <v>55</v>
      </c>
      <c r="S9" s="6" t="s">
        <v>56</v>
      </c>
      <c r="T9" s="6" t="s">
        <v>1567</v>
      </c>
      <c r="U9" s="6" t="s">
        <v>57</v>
      </c>
      <c r="V9" s="6">
        <v>30</v>
      </c>
      <c r="W9" s="6" t="s">
        <v>49</v>
      </c>
      <c r="X9" s="6" t="s">
        <v>58</v>
      </c>
      <c r="Y9" s="6" t="s">
        <v>59</v>
      </c>
      <c r="Z9" s="6">
        <v>105257</v>
      </c>
      <c r="AA9" s="6" t="s">
        <v>30</v>
      </c>
      <c r="AB9" s="6" t="s">
        <v>60</v>
      </c>
      <c r="AC9" s="6" t="s">
        <v>61</v>
      </c>
    </row>
    <row r="10" spans="1:29" x14ac:dyDescent="0.35">
      <c r="A10" s="6" t="s">
        <v>96</v>
      </c>
      <c r="B10" s="6" t="s">
        <v>93</v>
      </c>
      <c r="C10" s="6" t="s">
        <v>97</v>
      </c>
      <c r="D10" s="8" t="str">
        <f t="shared" si="0"/>
        <v>JOHN SINGH</v>
      </c>
      <c r="E10" s="6" t="s">
        <v>57</v>
      </c>
      <c r="F10" s="6">
        <v>40</v>
      </c>
      <c r="G10" s="6" t="s">
        <v>49</v>
      </c>
      <c r="H10" s="6" t="s">
        <v>70</v>
      </c>
      <c r="I10" s="6" t="s">
        <v>98</v>
      </c>
      <c r="J10" s="6">
        <v>51139</v>
      </c>
      <c r="K10" s="6" t="s">
        <v>28</v>
      </c>
      <c r="L10" s="6" t="s">
        <v>99</v>
      </c>
      <c r="M10" s="6" t="s">
        <v>73</v>
      </c>
      <c r="N10" s="10" t="e">
        <f>VLOOKUP(G10,Departments!A9:C14,3,0)</f>
        <v>#N/A</v>
      </c>
      <c r="O10" s="13" t="e">
        <f>INDEX(Departments!C9:C14,MATCH(Employees!G10,Departments!A9:A14,0))</f>
        <v>#N/A</v>
      </c>
      <c r="Q10" s="7" t="s">
        <v>149</v>
      </c>
      <c r="R10" s="7" t="s">
        <v>80</v>
      </c>
      <c r="S10" s="7" t="s">
        <v>97</v>
      </c>
      <c r="T10" s="6" t="s">
        <v>1568</v>
      </c>
      <c r="U10" s="7" t="s">
        <v>64</v>
      </c>
      <c r="V10" s="7">
        <v>35</v>
      </c>
      <c r="W10" s="7" t="s">
        <v>50</v>
      </c>
      <c r="X10" s="7" t="s">
        <v>58</v>
      </c>
      <c r="Y10" s="7" t="s">
        <v>150</v>
      </c>
      <c r="Z10" s="7">
        <v>79578</v>
      </c>
      <c r="AA10" s="7" t="s">
        <v>30</v>
      </c>
      <c r="AB10" s="7" t="s">
        <v>151</v>
      </c>
      <c r="AC10" s="7" t="s">
        <v>73</v>
      </c>
    </row>
    <row r="11" spans="1:29" x14ac:dyDescent="0.35">
      <c r="A11" s="7" t="s">
        <v>100</v>
      </c>
      <c r="B11" s="7" t="s">
        <v>55</v>
      </c>
      <c r="C11" s="7" t="s">
        <v>63</v>
      </c>
      <c r="D11" s="8" t="str">
        <f t="shared" si="0"/>
        <v>AMIT ROY</v>
      </c>
      <c r="E11" s="7" t="s">
        <v>57</v>
      </c>
      <c r="F11" s="7">
        <v>25</v>
      </c>
      <c r="G11" s="7" t="s">
        <v>53</v>
      </c>
      <c r="H11" s="7" t="s">
        <v>58</v>
      </c>
      <c r="I11" s="7" t="s">
        <v>101</v>
      </c>
      <c r="J11" s="7">
        <v>60673</v>
      </c>
      <c r="K11" s="7" t="s">
        <v>28</v>
      </c>
      <c r="L11" s="7" t="s">
        <v>102</v>
      </c>
      <c r="M11" s="7" t="s">
        <v>73</v>
      </c>
      <c r="N11" s="10" t="e">
        <f>VLOOKUP(G11,Departments!A10:C15,3,0)</f>
        <v>#N/A</v>
      </c>
      <c r="O11" s="13" t="e">
        <f>INDEX(Departments!C10:C15,MATCH(Employees!G11,Departments!A10:A15,0))</f>
        <v>#N/A</v>
      </c>
      <c r="Q11" s="6" t="s">
        <v>399</v>
      </c>
      <c r="R11" s="6" t="s">
        <v>175</v>
      </c>
      <c r="S11" s="6" t="s">
        <v>97</v>
      </c>
      <c r="T11" s="6" t="s">
        <v>1569</v>
      </c>
      <c r="U11" s="6" t="s">
        <v>64</v>
      </c>
      <c r="V11" s="6">
        <v>27</v>
      </c>
      <c r="W11" s="6" t="s">
        <v>52</v>
      </c>
      <c r="X11" s="6" t="s">
        <v>58</v>
      </c>
      <c r="Y11" s="6" t="s">
        <v>400</v>
      </c>
      <c r="Z11" s="6">
        <v>90958</v>
      </c>
      <c r="AA11" s="6" t="s">
        <v>30</v>
      </c>
      <c r="AB11" s="6" t="s">
        <v>401</v>
      </c>
      <c r="AC11" s="6" t="s">
        <v>73</v>
      </c>
    </row>
    <row r="12" spans="1:29" x14ac:dyDescent="0.35">
      <c r="A12" s="6" t="s">
        <v>103</v>
      </c>
      <c r="B12" s="6" t="s">
        <v>104</v>
      </c>
      <c r="C12" s="6" t="s">
        <v>63</v>
      </c>
      <c r="D12" s="8" t="str">
        <f t="shared" si="0"/>
        <v>ANITA ROY</v>
      </c>
      <c r="E12" s="6" t="s">
        <v>57</v>
      </c>
      <c r="F12" s="6">
        <v>25</v>
      </c>
      <c r="G12" s="6" t="s">
        <v>53</v>
      </c>
      <c r="H12" s="6" t="s">
        <v>70</v>
      </c>
      <c r="I12" s="6" t="s">
        <v>105</v>
      </c>
      <c r="J12" s="6">
        <v>65690</v>
      </c>
      <c r="K12" s="6" t="s">
        <v>30</v>
      </c>
      <c r="L12" s="6" t="s">
        <v>106</v>
      </c>
      <c r="M12" s="6" t="s">
        <v>73</v>
      </c>
      <c r="N12" s="10" t="e">
        <f>VLOOKUP(G12,Departments!A11:C16,3,0)</f>
        <v>#N/A</v>
      </c>
      <c r="O12" s="13" t="e">
        <f>INDEX(Departments!C11:C16,MATCH(Employees!G12,Departments!A11:A16,0))</f>
        <v>#N/A</v>
      </c>
      <c r="Q12" s="7" t="s">
        <v>431</v>
      </c>
      <c r="R12" s="7" t="s">
        <v>175</v>
      </c>
      <c r="S12" s="7" t="s">
        <v>111</v>
      </c>
      <c r="T12" s="6" t="s">
        <v>1570</v>
      </c>
      <c r="U12" s="7" t="s">
        <v>64</v>
      </c>
      <c r="V12" s="7">
        <v>24</v>
      </c>
      <c r="W12" s="7" t="s">
        <v>52</v>
      </c>
      <c r="X12" s="7" t="s">
        <v>58</v>
      </c>
      <c r="Y12" s="7" t="s">
        <v>432</v>
      </c>
      <c r="Z12" s="7">
        <v>99200</v>
      </c>
      <c r="AA12" s="7" t="s">
        <v>30</v>
      </c>
      <c r="AB12" s="7" t="s">
        <v>433</v>
      </c>
      <c r="AC12" s="7" t="s">
        <v>73</v>
      </c>
    </row>
    <row r="13" spans="1:29" x14ac:dyDescent="0.35">
      <c r="A13" s="7" t="s">
        <v>107</v>
      </c>
      <c r="B13" s="7" t="s">
        <v>69</v>
      </c>
      <c r="C13" s="7" t="s">
        <v>81</v>
      </c>
      <c r="D13" s="8" t="str">
        <f t="shared" si="0"/>
        <v>ROHIT GHOSH</v>
      </c>
      <c r="E13" s="7" t="s">
        <v>64</v>
      </c>
      <c r="F13" s="7">
        <v>49</v>
      </c>
      <c r="G13" s="7" t="s">
        <v>51</v>
      </c>
      <c r="H13" s="7" t="s">
        <v>65</v>
      </c>
      <c r="I13" s="7" t="s">
        <v>108</v>
      </c>
      <c r="J13" s="7">
        <v>63823</v>
      </c>
      <c r="K13" s="7" t="s">
        <v>28</v>
      </c>
      <c r="L13" s="7" t="s">
        <v>109</v>
      </c>
      <c r="M13" s="7" t="s">
        <v>61</v>
      </c>
      <c r="N13" s="10" t="e">
        <f>VLOOKUP(G13,Departments!A12:C17,3,0)</f>
        <v>#N/A</v>
      </c>
      <c r="O13" s="13" t="e">
        <f>INDEX(Departments!C12:C17,MATCH(Employees!G13,Departments!A12:A17,0))</f>
        <v>#N/A</v>
      </c>
      <c r="Q13" s="6" t="s">
        <v>576</v>
      </c>
      <c r="R13" s="6" t="s">
        <v>75</v>
      </c>
      <c r="S13" s="6" t="s">
        <v>111</v>
      </c>
      <c r="T13" s="6" t="s">
        <v>1571</v>
      </c>
      <c r="U13" s="6" t="s">
        <v>64</v>
      </c>
      <c r="V13" s="6">
        <v>41</v>
      </c>
      <c r="W13" s="6" t="s">
        <v>53</v>
      </c>
      <c r="X13" s="6" t="s">
        <v>58</v>
      </c>
      <c r="Y13" s="6" t="s">
        <v>577</v>
      </c>
      <c r="Z13" s="6">
        <v>45748</v>
      </c>
      <c r="AA13" s="6" t="s">
        <v>30</v>
      </c>
      <c r="AB13" s="6" t="s">
        <v>578</v>
      </c>
      <c r="AC13" s="6" t="s">
        <v>73</v>
      </c>
    </row>
    <row r="14" spans="1:29" x14ac:dyDescent="0.35">
      <c r="A14" s="6" t="s">
        <v>110</v>
      </c>
      <c r="B14" s="6" t="s">
        <v>69</v>
      </c>
      <c r="C14" s="6" t="s">
        <v>111</v>
      </c>
      <c r="D14" s="8" t="str">
        <f t="shared" si="0"/>
        <v>ROHIT KHAN</v>
      </c>
      <c r="E14" s="6" t="s">
        <v>57</v>
      </c>
      <c r="F14" s="6">
        <v>56</v>
      </c>
      <c r="G14" s="6" t="s">
        <v>53</v>
      </c>
      <c r="H14" s="6" t="s">
        <v>58</v>
      </c>
      <c r="I14" s="6" t="s">
        <v>112</v>
      </c>
      <c r="J14" s="6">
        <v>49557</v>
      </c>
      <c r="K14" s="6" t="s">
        <v>37</v>
      </c>
      <c r="L14" s="6" t="s">
        <v>113</v>
      </c>
      <c r="M14" s="6" t="s">
        <v>73</v>
      </c>
      <c r="N14" s="10" t="e">
        <f>VLOOKUP(G14,Departments!A13:C18,3,0)</f>
        <v>#N/A</v>
      </c>
      <c r="O14" s="13" t="e">
        <f>INDEX(Departments!C13:C18,MATCH(Employees!G14,Departments!A13:A18,0))</f>
        <v>#N/A</v>
      </c>
      <c r="Q14" s="6" t="s">
        <v>624</v>
      </c>
      <c r="R14" s="6" t="s">
        <v>104</v>
      </c>
      <c r="S14" s="6" t="s">
        <v>115</v>
      </c>
      <c r="T14" s="6" t="s">
        <v>1572</v>
      </c>
      <c r="U14" s="6" t="s">
        <v>64</v>
      </c>
      <c r="V14" s="6">
        <v>60</v>
      </c>
      <c r="W14" s="6" t="s">
        <v>52</v>
      </c>
      <c r="X14" s="6" t="s">
        <v>58</v>
      </c>
      <c r="Y14" s="6" t="s">
        <v>625</v>
      </c>
      <c r="Z14" s="6">
        <v>111243</v>
      </c>
      <c r="AA14" s="6" t="s">
        <v>30</v>
      </c>
      <c r="AB14" s="6" t="s">
        <v>626</v>
      </c>
      <c r="AC14" s="6" t="s">
        <v>61</v>
      </c>
    </row>
    <row r="15" spans="1:29" x14ac:dyDescent="0.35">
      <c r="A15" s="7" t="s">
        <v>114</v>
      </c>
      <c r="B15" s="7" t="s">
        <v>69</v>
      </c>
      <c r="C15" s="7" t="s">
        <v>115</v>
      </c>
      <c r="D15" s="8" t="str">
        <f t="shared" si="0"/>
        <v>ROHIT SEN</v>
      </c>
      <c r="E15" s="7" t="s">
        <v>64</v>
      </c>
      <c r="F15" s="7">
        <v>44</v>
      </c>
      <c r="G15" s="7" t="s">
        <v>49</v>
      </c>
      <c r="H15" s="7" t="s">
        <v>70</v>
      </c>
      <c r="I15" s="7" t="s">
        <v>116</v>
      </c>
      <c r="J15" s="7">
        <v>116901</v>
      </c>
      <c r="K15" s="7" t="s">
        <v>28</v>
      </c>
      <c r="L15" s="7" t="s">
        <v>117</v>
      </c>
      <c r="M15" s="7" t="s">
        <v>61</v>
      </c>
      <c r="N15" s="10" t="e">
        <f>VLOOKUP(G15,Departments!A14:C19,3,0)</f>
        <v>#N/A</v>
      </c>
      <c r="O15" s="13" t="e">
        <f>INDEX(Departments!C14:C19,MATCH(Employees!G15,Departments!A14:A19,0))</f>
        <v>#N/A</v>
      </c>
      <c r="Q15" s="6" t="s">
        <v>630</v>
      </c>
      <c r="R15" s="6" t="s">
        <v>175</v>
      </c>
      <c r="S15" s="6" t="s">
        <v>81</v>
      </c>
      <c r="T15" s="6" t="s">
        <v>1573</v>
      </c>
      <c r="U15" s="6" t="s">
        <v>64</v>
      </c>
      <c r="V15" s="6">
        <v>35</v>
      </c>
      <c r="W15" s="6" t="s">
        <v>53</v>
      </c>
      <c r="X15" s="6" t="s">
        <v>58</v>
      </c>
      <c r="Y15" s="6" t="s">
        <v>459</v>
      </c>
      <c r="Z15" s="6">
        <v>71247</v>
      </c>
      <c r="AA15" s="6" t="s">
        <v>30</v>
      </c>
      <c r="AB15" s="6" t="s">
        <v>631</v>
      </c>
      <c r="AC15" s="6" t="s">
        <v>73</v>
      </c>
    </row>
    <row r="16" spans="1:29" x14ac:dyDescent="0.35">
      <c r="A16" s="6" t="s">
        <v>118</v>
      </c>
      <c r="B16" s="6" t="s">
        <v>75</v>
      </c>
      <c r="C16" s="6" t="s">
        <v>115</v>
      </c>
      <c r="D16" s="8" t="str">
        <f t="shared" si="0"/>
        <v>DAVID SEN</v>
      </c>
      <c r="E16" s="6" t="s">
        <v>57</v>
      </c>
      <c r="F16" s="6">
        <v>55</v>
      </c>
      <c r="G16" s="6" t="s">
        <v>50</v>
      </c>
      <c r="H16" s="6" t="s">
        <v>58</v>
      </c>
      <c r="I16" s="6" t="s">
        <v>119</v>
      </c>
      <c r="J16" s="6">
        <v>85190</v>
      </c>
      <c r="K16" s="6" t="s">
        <v>13</v>
      </c>
      <c r="L16" s="6" t="s">
        <v>120</v>
      </c>
      <c r="M16" s="6" t="s">
        <v>73</v>
      </c>
      <c r="N16" s="10" t="e">
        <f>VLOOKUP(G16,Departments!A15:C20,3,0)</f>
        <v>#N/A</v>
      </c>
      <c r="O16" s="13" t="e">
        <f>INDEX(Departments!C15:C20,MATCH(Employees!G16,Departments!A15:A20,0))</f>
        <v>#N/A</v>
      </c>
      <c r="Q16" s="7" t="s">
        <v>853</v>
      </c>
      <c r="R16" s="7" t="s">
        <v>126</v>
      </c>
      <c r="S16" s="7" t="s">
        <v>162</v>
      </c>
      <c r="T16" s="6" t="s">
        <v>1574</v>
      </c>
      <c r="U16" s="7" t="s">
        <v>57</v>
      </c>
      <c r="V16" s="7">
        <v>44</v>
      </c>
      <c r="W16" s="7" t="s">
        <v>51</v>
      </c>
      <c r="X16" s="7" t="s">
        <v>58</v>
      </c>
      <c r="Y16" s="7" t="s">
        <v>854</v>
      </c>
      <c r="Z16" s="7">
        <v>97265</v>
      </c>
      <c r="AA16" s="7" t="s">
        <v>30</v>
      </c>
      <c r="AB16" s="7" t="s">
        <v>855</v>
      </c>
      <c r="AC16" s="7" t="s">
        <v>61</v>
      </c>
    </row>
    <row r="17" spans="1:30" x14ac:dyDescent="0.35">
      <c r="A17" s="7" t="s">
        <v>121</v>
      </c>
      <c r="B17" s="7" t="s">
        <v>89</v>
      </c>
      <c r="C17" s="7" t="s">
        <v>122</v>
      </c>
      <c r="D17" s="8" t="str">
        <f t="shared" si="0"/>
        <v>SARA PAUL</v>
      </c>
      <c r="E17" s="7" t="s">
        <v>57</v>
      </c>
      <c r="F17" s="7">
        <v>30</v>
      </c>
      <c r="G17" s="7" t="s">
        <v>52</v>
      </c>
      <c r="H17" s="7" t="s">
        <v>70</v>
      </c>
      <c r="I17" s="7" t="s">
        <v>123</v>
      </c>
      <c r="J17" s="7">
        <v>95723</v>
      </c>
      <c r="K17" s="7" t="s">
        <v>28</v>
      </c>
      <c r="L17" s="7" t="s">
        <v>124</v>
      </c>
      <c r="M17" s="7" t="s">
        <v>73</v>
      </c>
      <c r="N17" s="10" t="e">
        <f>VLOOKUP(G17,Departments!A16:C21,3,0)</f>
        <v>#N/A</v>
      </c>
      <c r="O17" s="13" t="e">
        <f>INDEX(Departments!C16:C21,MATCH(Employees!G17,Departments!A16:A21,0))</f>
        <v>#N/A</v>
      </c>
      <c r="Q17" s="6" t="s">
        <v>991</v>
      </c>
      <c r="R17" s="6" t="s">
        <v>89</v>
      </c>
      <c r="S17" s="6" t="s">
        <v>63</v>
      </c>
      <c r="T17" s="6" t="s">
        <v>1575</v>
      </c>
      <c r="U17" s="6" t="s">
        <v>57</v>
      </c>
      <c r="V17" s="6">
        <v>27</v>
      </c>
      <c r="W17" s="6" t="s">
        <v>50</v>
      </c>
      <c r="X17" s="6" t="s">
        <v>58</v>
      </c>
      <c r="Y17" s="6" t="s">
        <v>498</v>
      </c>
      <c r="Z17" s="6">
        <v>86048</v>
      </c>
      <c r="AA17" s="6" t="s">
        <v>30</v>
      </c>
      <c r="AB17" s="6" t="s">
        <v>992</v>
      </c>
      <c r="AC17" s="6" t="s">
        <v>61</v>
      </c>
    </row>
    <row r="18" spans="1:30" x14ac:dyDescent="0.35">
      <c r="A18" s="6" t="s">
        <v>125</v>
      </c>
      <c r="B18" s="6" t="s">
        <v>126</v>
      </c>
      <c r="C18" s="6" t="s">
        <v>127</v>
      </c>
      <c r="D18" s="8" t="str">
        <f t="shared" si="0"/>
        <v>PRIYA SMITH</v>
      </c>
      <c r="E18" s="6" t="s">
        <v>57</v>
      </c>
      <c r="F18" s="6">
        <v>51</v>
      </c>
      <c r="G18" s="6" t="s">
        <v>52</v>
      </c>
      <c r="H18" s="6" t="s">
        <v>65</v>
      </c>
      <c r="I18" s="6" t="s">
        <v>128</v>
      </c>
      <c r="J18" s="6">
        <v>35234</v>
      </c>
      <c r="K18" s="6" t="s">
        <v>13</v>
      </c>
      <c r="L18" s="6" t="s">
        <v>129</v>
      </c>
      <c r="M18" s="6" t="s">
        <v>73</v>
      </c>
      <c r="N18" s="10" t="e">
        <f>VLOOKUP(G18,Departments!A17:C22,3,0)</f>
        <v>#N/A</v>
      </c>
      <c r="O18" s="13" t="e">
        <f>INDEX(Departments!C17:C22,MATCH(Employees!G18,Departments!A17:A22,0))</f>
        <v>#N/A</v>
      </c>
      <c r="Q18" s="6" t="s">
        <v>1014</v>
      </c>
      <c r="R18" s="6" t="s">
        <v>75</v>
      </c>
      <c r="S18" s="6" t="s">
        <v>127</v>
      </c>
      <c r="T18" s="6" t="s">
        <v>1576</v>
      </c>
      <c r="U18" s="6" t="s">
        <v>57</v>
      </c>
      <c r="V18" s="6">
        <v>53</v>
      </c>
      <c r="W18" s="6" t="s">
        <v>52</v>
      </c>
      <c r="X18" s="6" t="s">
        <v>58</v>
      </c>
      <c r="Y18" s="6" t="s">
        <v>1015</v>
      </c>
      <c r="Z18" s="6">
        <v>50653</v>
      </c>
      <c r="AA18" s="6" t="s">
        <v>30</v>
      </c>
      <c r="AB18" s="6" t="s">
        <v>1016</v>
      </c>
      <c r="AC18" s="6" t="s">
        <v>73</v>
      </c>
    </row>
    <row r="19" spans="1:30" x14ac:dyDescent="0.35">
      <c r="A19" s="7" t="s">
        <v>130</v>
      </c>
      <c r="B19" s="7" t="s">
        <v>93</v>
      </c>
      <c r="C19" s="7" t="s">
        <v>63</v>
      </c>
      <c r="D19" s="8" t="str">
        <f t="shared" si="0"/>
        <v>JOHN ROY</v>
      </c>
      <c r="E19" s="7" t="s">
        <v>64</v>
      </c>
      <c r="F19" s="7">
        <v>38</v>
      </c>
      <c r="G19" s="7" t="s">
        <v>49</v>
      </c>
      <c r="H19" s="7" t="s">
        <v>65</v>
      </c>
      <c r="I19" s="7" t="s">
        <v>131</v>
      </c>
      <c r="J19" s="7">
        <v>102733</v>
      </c>
      <c r="K19" s="7" t="s">
        <v>30</v>
      </c>
      <c r="L19" s="7" t="s">
        <v>132</v>
      </c>
      <c r="M19" s="7" t="s">
        <v>73</v>
      </c>
      <c r="N19" s="10" t="e">
        <f>VLOOKUP(G19,Departments!A18:C23,3,0)</f>
        <v>#N/A</v>
      </c>
      <c r="O19" s="13" t="e">
        <f>INDEX(Departments!C18:C23,MATCH(Employees!G19,Departments!A18:A23,0))</f>
        <v>#N/A</v>
      </c>
      <c r="Q19" s="7" t="s">
        <v>1141</v>
      </c>
      <c r="R19" s="7" t="s">
        <v>104</v>
      </c>
      <c r="S19" s="7" t="s">
        <v>56</v>
      </c>
      <c r="T19" s="6" t="s">
        <v>1577</v>
      </c>
      <c r="U19" s="7" t="s">
        <v>64</v>
      </c>
      <c r="V19" s="7">
        <v>60</v>
      </c>
      <c r="W19" s="7" t="s">
        <v>49</v>
      </c>
      <c r="X19" s="7" t="s">
        <v>58</v>
      </c>
      <c r="Y19" s="7" t="s">
        <v>1142</v>
      </c>
      <c r="Z19" s="7">
        <v>117041</v>
      </c>
      <c r="AA19" s="7" t="s">
        <v>30</v>
      </c>
      <c r="AB19" s="7" t="s">
        <v>1143</v>
      </c>
      <c r="AC19" s="7" t="s">
        <v>73</v>
      </c>
    </row>
    <row r="20" spans="1:30" x14ac:dyDescent="0.35">
      <c r="A20" s="6" t="s">
        <v>133</v>
      </c>
      <c r="B20" s="6" t="s">
        <v>69</v>
      </c>
      <c r="C20" s="6" t="s">
        <v>111</v>
      </c>
      <c r="D20" s="8" t="str">
        <f t="shared" si="0"/>
        <v>ROHIT KHAN</v>
      </c>
      <c r="E20" s="6" t="s">
        <v>57</v>
      </c>
      <c r="F20" s="6">
        <v>46</v>
      </c>
      <c r="G20" s="6" t="s">
        <v>49</v>
      </c>
      <c r="H20" s="6" t="s">
        <v>76</v>
      </c>
      <c r="I20" s="6" t="s">
        <v>134</v>
      </c>
      <c r="J20" s="6">
        <v>76829</v>
      </c>
      <c r="K20" s="6" t="s">
        <v>28</v>
      </c>
      <c r="L20" s="6" t="s">
        <v>135</v>
      </c>
      <c r="M20" s="6" t="s">
        <v>61</v>
      </c>
      <c r="N20" s="10" t="e">
        <f>VLOOKUP(G20,Departments!A19:C24,3,0)</f>
        <v>#N/A</v>
      </c>
      <c r="O20" s="13" t="e">
        <f>INDEX(Departments!C19:C24,MATCH(Employees!G20,Departments!A19:A24,0))</f>
        <v>#N/A</v>
      </c>
      <c r="Q20" s="6" t="s">
        <v>1156</v>
      </c>
      <c r="R20" s="6" t="s">
        <v>89</v>
      </c>
      <c r="S20" s="6" t="s">
        <v>111</v>
      </c>
      <c r="T20" s="6" t="s">
        <v>1578</v>
      </c>
      <c r="U20" s="6" t="s">
        <v>64</v>
      </c>
      <c r="V20" s="6">
        <v>42</v>
      </c>
      <c r="W20" s="6" t="s">
        <v>51</v>
      </c>
      <c r="X20" s="6" t="s">
        <v>58</v>
      </c>
      <c r="Y20" s="6" t="s">
        <v>1157</v>
      </c>
      <c r="Z20" s="6">
        <v>106833</v>
      </c>
      <c r="AA20" s="6" t="s">
        <v>30</v>
      </c>
      <c r="AB20" s="6" t="s">
        <v>1158</v>
      </c>
      <c r="AC20" s="6" t="s">
        <v>73</v>
      </c>
    </row>
    <row r="21" spans="1:30" x14ac:dyDescent="0.35">
      <c r="A21" s="7" t="s">
        <v>136</v>
      </c>
      <c r="B21" s="7" t="s">
        <v>126</v>
      </c>
      <c r="C21" s="7" t="s">
        <v>56</v>
      </c>
      <c r="D21" s="8" t="str">
        <f t="shared" si="0"/>
        <v>PRIYA DUTTA</v>
      </c>
      <c r="E21" s="7" t="s">
        <v>64</v>
      </c>
      <c r="F21" s="7">
        <v>60</v>
      </c>
      <c r="G21" s="7" t="s">
        <v>53</v>
      </c>
      <c r="H21" s="7" t="s">
        <v>70</v>
      </c>
      <c r="I21" s="7" t="s">
        <v>137</v>
      </c>
      <c r="J21" s="7">
        <v>69718</v>
      </c>
      <c r="K21" s="7" t="s">
        <v>18</v>
      </c>
      <c r="L21" s="7" t="s">
        <v>138</v>
      </c>
      <c r="M21" s="7" t="s">
        <v>73</v>
      </c>
      <c r="N21" s="10" t="e">
        <f>VLOOKUP(G21,Departments!A20:C25,3,0)</f>
        <v>#N/A</v>
      </c>
      <c r="O21" s="13" t="e">
        <f>INDEX(Departments!C20:C25,MATCH(Employees!G21,Departments!A20:A25,0))</f>
        <v>#N/A</v>
      </c>
      <c r="Q21" s="7" t="s">
        <v>1181</v>
      </c>
      <c r="R21" s="7" t="s">
        <v>126</v>
      </c>
      <c r="S21" s="7" t="s">
        <v>56</v>
      </c>
      <c r="T21" s="6" t="s">
        <v>1579</v>
      </c>
      <c r="U21" s="7" t="s">
        <v>57</v>
      </c>
      <c r="V21" s="7">
        <v>28</v>
      </c>
      <c r="W21" s="7" t="s">
        <v>50</v>
      </c>
      <c r="X21" s="7" t="s">
        <v>58</v>
      </c>
      <c r="Y21" s="7" t="s">
        <v>1182</v>
      </c>
      <c r="Z21" s="7">
        <v>113590</v>
      </c>
      <c r="AA21" s="7" t="s">
        <v>30</v>
      </c>
      <c r="AB21" s="7" t="s">
        <v>1183</v>
      </c>
      <c r="AC21" s="7" t="s">
        <v>73</v>
      </c>
    </row>
    <row r="22" spans="1:30" x14ac:dyDescent="0.35">
      <c r="A22" s="6" t="s">
        <v>139</v>
      </c>
      <c r="B22" s="6" t="s">
        <v>126</v>
      </c>
      <c r="C22" s="6" t="s">
        <v>115</v>
      </c>
      <c r="D22" s="8" t="str">
        <f t="shared" si="0"/>
        <v>PRIYA SEN</v>
      </c>
      <c r="E22" s="6" t="s">
        <v>57</v>
      </c>
      <c r="F22" s="6">
        <v>24</v>
      </c>
      <c r="G22" s="6" t="s">
        <v>52</v>
      </c>
      <c r="H22" s="6" t="s">
        <v>140</v>
      </c>
      <c r="I22" s="6" t="s">
        <v>141</v>
      </c>
      <c r="J22" s="6">
        <v>90834</v>
      </c>
      <c r="K22" s="6" t="s">
        <v>37</v>
      </c>
      <c r="L22" s="6" t="s">
        <v>142</v>
      </c>
      <c r="M22" s="6" t="s">
        <v>61</v>
      </c>
      <c r="N22" s="10" t="e">
        <f>VLOOKUP(G22,Departments!A21:C26,3,0)</f>
        <v>#N/A</v>
      </c>
      <c r="O22" s="13" t="e">
        <f>INDEX(Departments!C21:C26,MATCH(Employees!G22,Departments!A21:A26,0))</f>
        <v>#N/A</v>
      </c>
      <c r="Q22" s="7" t="s">
        <v>1262</v>
      </c>
      <c r="R22" s="7" t="s">
        <v>80</v>
      </c>
      <c r="S22" s="7" t="s">
        <v>56</v>
      </c>
      <c r="T22" s="6" t="s">
        <v>1580</v>
      </c>
      <c r="U22" s="7" t="s">
        <v>64</v>
      </c>
      <c r="V22" s="7">
        <v>57</v>
      </c>
      <c r="W22" s="7" t="s">
        <v>49</v>
      </c>
      <c r="X22" s="7" t="s">
        <v>58</v>
      </c>
      <c r="Y22" s="7" t="s">
        <v>1263</v>
      </c>
      <c r="Z22" s="7">
        <v>107382</v>
      </c>
      <c r="AA22" s="7" t="s">
        <v>30</v>
      </c>
      <c r="AB22" s="7" t="s">
        <v>1264</v>
      </c>
      <c r="AC22" s="7" t="s">
        <v>73</v>
      </c>
    </row>
    <row r="23" spans="1:30" x14ac:dyDescent="0.35">
      <c r="A23" s="7" t="s">
        <v>143</v>
      </c>
      <c r="B23" s="7" t="s">
        <v>55</v>
      </c>
      <c r="C23" s="7" t="s">
        <v>56</v>
      </c>
      <c r="D23" s="8" t="str">
        <f t="shared" si="0"/>
        <v>AMIT DUTTA</v>
      </c>
      <c r="E23" s="7" t="s">
        <v>64</v>
      </c>
      <c r="F23" s="7">
        <v>51</v>
      </c>
      <c r="G23" s="7" t="s">
        <v>49</v>
      </c>
      <c r="H23" s="7" t="s">
        <v>140</v>
      </c>
      <c r="I23" s="7" t="s">
        <v>144</v>
      </c>
      <c r="J23" s="7">
        <v>51631</v>
      </c>
      <c r="K23" s="7" t="s">
        <v>28</v>
      </c>
      <c r="L23" s="7" t="s">
        <v>145</v>
      </c>
      <c r="M23" s="7" t="s">
        <v>73</v>
      </c>
      <c r="N23" s="10" t="e">
        <f>VLOOKUP(G23,Departments!A22:C27,3,0)</f>
        <v>#N/A</v>
      </c>
      <c r="O23" s="13" t="e">
        <f>INDEX(Departments!C22:C27,MATCH(Employees!G23,Departments!A22:A27,0))</f>
        <v>#N/A</v>
      </c>
      <c r="Q23" s="6" t="s">
        <v>1289</v>
      </c>
      <c r="R23" s="6" t="s">
        <v>93</v>
      </c>
      <c r="S23" s="6" t="s">
        <v>56</v>
      </c>
      <c r="T23" s="6" t="s">
        <v>1581</v>
      </c>
      <c r="U23" s="6" t="s">
        <v>57</v>
      </c>
      <c r="V23" s="6">
        <v>29</v>
      </c>
      <c r="W23" s="6" t="s">
        <v>51</v>
      </c>
      <c r="X23" s="6" t="s">
        <v>58</v>
      </c>
      <c r="Y23" s="6" t="s">
        <v>1290</v>
      </c>
      <c r="Z23" s="6">
        <v>102232</v>
      </c>
      <c r="AA23" s="6" t="s">
        <v>30</v>
      </c>
      <c r="AB23" s="6" t="s">
        <v>1291</v>
      </c>
      <c r="AC23" s="6" t="s">
        <v>61</v>
      </c>
    </row>
    <row r="24" spans="1:30" x14ac:dyDescent="0.35">
      <c r="A24" s="6" t="s">
        <v>146</v>
      </c>
      <c r="B24" s="6" t="s">
        <v>104</v>
      </c>
      <c r="C24" s="6" t="s">
        <v>97</v>
      </c>
      <c r="D24" s="8" t="str">
        <f t="shared" si="0"/>
        <v>ANITA SINGH</v>
      </c>
      <c r="E24" s="6" t="s">
        <v>64</v>
      </c>
      <c r="F24" s="6">
        <v>45</v>
      </c>
      <c r="G24" s="6" t="s">
        <v>52</v>
      </c>
      <c r="H24" s="6" t="s">
        <v>65</v>
      </c>
      <c r="I24" s="6" t="s">
        <v>147</v>
      </c>
      <c r="J24" s="6">
        <v>51414</v>
      </c>
      <c r="K24" s="6" t="s">
        <v>28</v>
      </c>
      <c r="L24" s="6" t="s">
        <v>148</v>
      </c>
      <c r="M24" s="6" t="s">
        <v>61</v>
      </c>
      <c r="N24" s="10" t="e">
        <f>VLOOKUP(G24,Departments!A23:C28,3,0)</f>
        <v>#N/A</v>
      </c>
      <c r="O24" s="13" t="e">
        <f>INDEX(Departments!C23:C28,MATCH(Employees!G24,Departments!A23:A28,0))</f>
        <v>#N/A</v>
      </c>
      <c r="Q24" s="7" t="s">
        <v>1310</v>
      </c>
      <c r="R24" s="7" t="s">
        <v>55</v>
      </c>
      <c r="S24" s="7" t="s">
        <v>162</v>
      </c>
      <c r="T24" s="6" t="s">
        <v>1582</v>
      </c>
      <c r="U24" s="7" t="s">
        <v>57</v>
      </c>
      <c r="V24" s="7">
        <v>36</v>
      </c>
      <c r="W24" s="7" t="s">
        <v>53</v>
      </c>
      <c r="X24" s="7" t="s">
        <v>58</v>
      </c>
      <c r="Y24" s="7" t="s">
        <v>1311</v>
      </c>
      <c r="Z24" s="7">
        <v>82168</v>
      </c>
      <c r="AA24" s="7" t="s">
        <v>30</v>
      </c>
      <c r="AB24" s="7" t="s">
        <v>1312</v>
      </c>
      <c r="AC24" s="7" t="s">
        <v>61</v>
      </c>
    </row>
    <row r="25" spans="1:30" x14ac:dyDescent="0.35">
      <c r="A25" s="7" t="s">
        <v>149</v>
      </c>
      <c r="B25" s="7" t="s">
        <v>80</v>
      </c>
      <c r="C25" s="7" t="s">
        <v>97</v>
      </c>
      <c r="D25" s="8" t="str">
        <f t="shared" si="0"/>
        <v>JANE SINGH</v>
      </c>
      <c r="E25" s="7" t="s">
        <v>64</v>
      </c>
      <c r="F25" s="7">
        <v>35</v>
      </c>
      <c r="G25" s="7" t="s">
        <v>50</v>
      </c>
      <c r="H25" s="7" t="s">
        <v>58</v>
      </c>
      <c r="I25" s="7" t="s">
        <v>150</v>
      </c>
      <c r="J25" s="7">
        <v>79578</v>
      </c>
      <c r="K25" s="7" t="s">
        <v>30</v>
      </c>
      <c r="L25" s="7" t="s">
        <v>151</v>
      </c>
      <c r="M25" s="7" t="s">
        <v>73</v>
      </c>
      <c r="N25" s="10" t="e">
        <f>VLOOKUP(G25,Departments!A24:C29,3,0)</f>
        <v>#N/A</v>
      </c>
      <c r="O25" s="13" t="e">
        <f>INDEX(Departments!C24:C29,MATCH(Employees!G25,Departments!A24:A29,0))</f>
        <v>#N/A</v>
      </c>
      <c r="Q25" s="7" t="s">
        <v>1322</v>
      </c>
      <c r="R25" s="7" t="s">
        <v>55</v>
      </c>
      <c r="S25" s="7" t="s">
        <v>97</v>
      </c>
      <c r="T25" s="6" t="s">
        <v>1583</v>
      </c>
      <c r="U25" s="7" t="s">
        <v>57</v>
      </c>
      <c r="V25" s="7">
        <v>24</v>
      </c>
      <c r="W25" s="7" t="s">
        <v>52</v>
      </c>
      <c r="X25" s="7" t="s">
        <v>58</v>
      </c>
      <c r="Y25" s="7" t="s">
        <v>1323</v>
      </c>
      <c r="Z25" s="7">
        <v>57088</v>
      </c>
      <c r="AA25" s="7" t="s">
        <v>30</v>
      </c>
      <c r="AB25" s="7" t="s">
        <v>1324</v>
      </c>
      <c r="AC25" s="7" t="s">
        <v>61</v>
      </c>
    </row>
    <row r="26" spans="1:30" x14ac:dyDescent="0.35">
      <c r="A26" s="6" t="s">
        <v>152</v>
      </c>
      <c r="B26" s="6" t="s">
        <v>104</v>
      </c>
      <c r="C26" s="6" t="s">
        <v>115</v>
      </c>
      <c r="D26" s="8" t="str">
        <f t="shared" si="0"/>
        <v>ANITA SEN</v>
      </c>
      <c r="E26" s="6" t="s">
        <v>64</v>
      </c>
      <c r="F26" s="6">
        <v>47</v>
      </c>
      <c r="G26" s="6" t="s">
        <v>51</v>
      </c>
      <c r="H26" s="6" t="s">
        <v>140</v>
      </c>
      <c r="I26" s="6" t="s">
        <v>153</v>
      </c>
      <c r="J26" s="6">
        <v>111899</v>
      </c>
      <c r="K26" s="6" t="s">
        <v>28</v>
      </c>
      <c r="L26" s="6" t="s">
        <v>154</v>
      </c>
      <c r="M26" s="6" t="s">
        <v>73</v>
      </c>
      <c r="N26" s="10" t="e">
        <f>VLOOKUP(G26,Departments!A25:C30,3,0)</f>
        <v>#N/A</v>
      </c>
      <c r="O26" s="13" t="e">
        <f>INDEX(Departments!C25:C30,MATCH(Employees!G26,Departments!A25:A30,0))</f>
        <v>#N/A</v>
      </c>
      <c r="Q26" s="15"/>
      <c r="R26" s="14"/>
    </row>
    <row r="27" spans="1:30" ht="15" thickBot="1" x14ac:dyDescent="0.4">
      <c r="A27" s="7" t="s">
        <v>155</v>
      </c>
      <c r="B27" s="7" t="s">
        <v>93</v>
      </c>
      <c r="C27" s="7" t="s">
        <v>56</v>
      </c>
      <c r="D27" s="8" t="str">
        <f t="shared" si="0"/>
        <v>JOHN DUTTA</v>
      </c>
      <c r="E27" s="7" t="s">
        <v>64</v>
      </c>
      <c r="F27" s="7">
        <v>47</v>
      </c>
      <c r="G27" s="7" t="s">
        <v>52</v>
      </c>
      <c r="H27" s="7" t="s">
        <v>65</v>
      </c>
      <c r="I27" s="7" t="s">
        <v>156</v>
      </c>
      <c r="J27" s="7">
        <v>95862</v>
      </c>
      <c r="K27" s="7" t="s">
        <v>30</v>
      </c>
      <c r="L27" s="7" t="s">
        <v>157</v>
      </c>
      <c r="M27" s="7" t="s">
        <v>61</v>
      </c>
      <c r="N27" s="10" t="e">
        <f>VLOOKUP(G27,Departments!A26:C31,3,0)</f>
        <v>#N/A</v>
      </c>
      <c r="O27" s="13" t="e">
        <f>INDEX(Departments!C26:C31,MATCH(Employees!G27,Departments!A26:A31,0))</f>
        <v>#N/A</v>
      </c>
    </row>
    <row r="28" spans="1:30" ht="16.5" x14ac:dyDescent="0.45">
      <c r="A28" s="6" t="s">
        <v>158</v>
      </c>
      <c r="B28" s="6" t="s">
        <v>55</v>
      </c>
      <c r="C28" s="6" t="s">
        <v>115</v>
      </c>
      <c r="D28" s="8" t="str">
        <f t="shared" si="0"/>
        <v>AMIT SEN</v>
      </c>
      <c r="E28" s="6" t="s">
        <v>57</v>
      </c>
      <c r="F28" s="6">
        <v>49</v>
      </c>
      <c r="G28" s="6" t="s">
        <v>51</v>
      </c>
      <c r="H28" s="6" t="s">
        <v>58</v>
      </c>
      <c r="I28" s="6" t="s">
        <v>159</v>
      </c>
      <c r="J28" s="6">
        <v>110397</v>
      </c>
      <c r="K28" s="6" t="s">
        <v>37</v>
      </c>
      <c r="L28" s="6" t="s">
        <v>160</v>
      </c>
      <c r="M28" s="6" t="s">
        <v>73</v>
      </c>
      <c r="N28" s="10" t="e">
        <f>VLOOKUP(G28,Departments!A27:C32,3,0)</f>
        <v>#N/A</v>
      </c>
      <c r="O28" s="13" t="e">
        <f>INDEX(Departments!C27:C32,MATCH(Employees!G28,Departments!A27:A32,0))</f>
        <v>#N/A</v>
      </c>
      <c r="Q28" s="16" t="s">
        <v>1586</v>
      </c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17"/>
      <c r="AC28" s="17"/>
      <c r="AD28" s="18"/>
    </row>
    <row r="29" spans="1:30" ht="16.5" x14ac:dyDescent="0.45">
      <c r="A29" s="7" t="s">
        <v>161</v>
      </c>
      <c r="B29" s="7" t="s">
        <v>80</v>
      </c>
      <c r="C29" s="7" t="s">
        <v>162</v>
      </c>
      <c r="D29" s="8" t="str">
        <f t="shared" si="0"/>
        <v>JANE DAS</v>
      </c>
      <c r="E29" s="7" t="s">
        <v>57</v>
      </c>
      <c r="F29" s="7">
        <v>27</v>
      </c>
      <c r="G29" s="7" t="s">
        <v>50</v>
      </c>
      <c r="H29" s="7" t="s">
        <v>65</v>
      </c>
      <c r="I29" s="7" t="s">
        <v>163</v>
      </c>
      <c r="J29" s="7">
        <v>111149</v>
      </c>
      <c r="K29" s="7" t="s">
        <v>37</v>
      </c>
      <c r="L29" s="7" t="s">
        <v>164</v>
      </c>
      <c r="M29" s="7" t="s">
        <v>61</v>
      </c>
      <c r="N29" s="10" t="e">
        <f>VLOOKUP(G29,Departments!A28:C33,3,0)</f>
        <v>#N/A</v>
      </c>
      <c r="O29" s="13" t="e">
        <f>INDEX(Departments!C28:C33,MATCH(Employees!G29,Departments!A28:A33,0))</f>
        <v>#N/A</v>
      </c>
      <c r="Q29" s="21" t="s">
        <v>1587</v>
      </c>
      <c r="R29" s="22"/>
      <c r="S29" s="22"/>
      <c r="T29" s="22"/>
      <c r="U29" s="22"/>
      <c r="V29" s="22"/>
      <c r="W29" s="22"/>
      <c r="X29" s="22"/>
      <c r="Y29" s="22"/>
      <c r="Z29" s="22"/>
      <c r="AA29" s="22"/>
      <c r="AB29" s="3"/>
      <c r="AC29" s="3"/>
      <c r="AD29" s="19"/>
    </row>
    <row r="30" spans="1:30" ht="16.5" x14ac:dyDescent="0.45">
      <c r="A30" s="6" t="s">
        <v>165</v>
      </c>
      <c r="B30" s="6" t="s">
        <v>89</v>
      </c>
      <c r="C30" s="6" t="s">
        <v>111</v>
      </c>
      <c r="D30" s="8" t="str">
        <f t="shared" si="0"/>
        <v>SARA KHAN</v>
      </c>
      <c r="E30" s="6" t="s">
        <v>64</v>
      </c>
      <c r="F30" s="6">
        <v>36</v>
      </c>
      <c r="G30" s="6" t="s">
        <v>52</v>
      </c>
      <c r="H30" s="6" t="s">
        <v>58</v>
      </c>
      <c r="I30" s="6" t="s">
        <v>166</v>
      </c>
      <c r="J30" s="6">
        <v>67035</v>
      </c>
      <c r="K30" s="6" t="s">
        <v>37</v>
      </c>
      <c r="L30" s="6" t="s">
        <v>167</v>
      </c>
      <c r="M30" s="6" t="s">
        <v>73</v>
      </c>
      <c r="N30" s="10" t="e">
        <f>VLOOKUP(G30,Departments!A29:C34,3,0)</f>
        <v>#N/A</v>
      </c>
      <c r="O30" s="13" t="e">
        <f>INDEX(Departments!C29:C34,MATCH(Employees!G30,Departments!A29:A34,0))</f>
        <v>#N/A</v>
      </c>
      <c r="Q30" s="31" t="s">
        <v>1588</v>
      </c>
      <c r="R30" s="32"/>
      <c r="S30" s="32"/>
      <c r="T30" s="32"/>
      <c r="U30" s="32"/>
      <c r="V30" s="3"/>
      <c r="W30" s="3"/>
      <c r="X30" s="3"/>
      <c r="Y30" s="3"/>
      <c r="Z30" s="3"/>
      <c r="AA30" s="3"/>
      <c r="AB30" s="3"/>
      <c r="AC30" s="3"/>
      <c r="AD30" s="19"/>
    </row>
    <row r="31" spans="1:30" ht="16.5" x14ac:dyDescent="0.45">
      <c r="A31" s="7" t="s">
        <v>168</v>
      </c>
      <c r="B31" s="7" t="s">
        <v>75</v>
      </c>
      <c r="C31" s="7" t="s">
        <v>56</v>
      </c>
      <c r="D31" s="8" t="str">
        <f t="shared" si="0"/>
        <v>DAVID DUTTA</v>
      </c>
      <c r="E31" s="7" t="s">
        <v>64</v>
      </c>
      <c r="F31" s="7">
        <v>41</v>
      </c>
      <c r="G31" s="7" t="s">
        <v>51</v>
      </c>
      <c r="H31" s="7" t="s">
        <v>58</v>
      </c>
      <c r="I31" s="7" t="s">
        <v>169</v>
      </c>
      <c r="J31" s="7">
        <v>103851</v>
      </c>
      <c r="K31" s="7" t="s">
        <v>18</v>
      </c>
      <c r="L31" s="7" t="s">
        <v>170</v>
      </c>
      <c r="M31" s="7" t="s">
        <v>73</v>
      </c>
      <c r="N31" s="10" t="e">
        <f>VLOOKUP(G31,Departments!A30:C35,3,0)</f>
        <v>#N/A</v>
      </c>
      <c r="O31" s="13" t="e">
        <f>INDEX(Departments!C30:C35,MATCH(Employees!G31,Departments!A30:A35,0))</f>
        <v>#N/A</v>
      </c>
      <c r="Q31" s="33" t="s">
        <v>1589</v>
      </c>
      <c r="R31" s="34"/>
      <c r="S31" s="34"/>
      <c r="T31" s="34"/>
      <c r="U31" s="34"/>
      <c r="V31" s="34"/>
      <c r="W31" s="34"/>
      <c r="X31" s="34"/>
      <c r="Y31" s="34"/>
      <c r="Z31" s="34"/>
      <c r="AA31" s="34"/>
      <c r="AB31" s="34"/>
      <c r="AC31" s="34"/>
      <c r="AD31" s="19"/>
    </row>
    <row r="32" spans="1:30" ht="16.5" x14ac:dyDescent="0.45">
      <c r="A32" s="6" t="s">
        <v>171</v>
      </c>
      <c r="B32" s="6" t="s">
        <v>55</v>
      </c>
      <c r="C32" s="6" t="s">
        <v>81</v>
      </c>
      <c r="D32" s="8" t="str">
        <f t="shared" si="0"/>
        <v>AMIT GHOSH</v>
      </c>
      <c r="E32" s="6" t="s">
        <v>57</v>
      </c>
      <c r="F32" s="6">
        <v>26</v>
      </c>
      <c r="G32" s="6" t="s">
        <v>53</v>
      </c>
      <c r="H32" s="6" t="s">
        <v>140</v>
      </c>
      <c r="I32" s="6" t="s">
        <v>172</v>
      </c>
      <c r="J32" s="6">
        <v>63676</v>
      </c>
      <c r="K32" s="6" t="s">
        <v>30</v>
      </c>
      <c r="L32" s="6" t="s">
        <v>173</v>
      </c>
      <c r="M32" s="6" t="s">
        <v>73</v>
      </c>
      <c r="N32" s="10" t="e">
        <f>VLOOKUP(G32,Departments!A31:C36,3,0)</f>
        <v>#N/A</v>
      </c>
      <c r="O32" s="13" t="e">
        <f>INDEX(Departments!C31:C36,MATCH(Employees!G32,Departments!A31:A36,0))</f>
        <v>#N/A</v>
      </c>
      <c r="Q32" s="23" t="s">
        <v>1590</v>
      </c>
      <c r="R32" s="24"/>
      <c r="S32" s="24"/>
      <c r="T32" s="24"/>
      <c r="U32" s="24"/>
      <c r="V32" s="3"/>
      <c r="W32" s="3"/>
      <c r="X32" s="3"/>
      <c r="Y32" s="3"/>
      <c r="Z32" s="3"/>
      <c r="AA32" s="3"/>
      <c r="AB32" s="3"/>
      <c r="AC32" s="3"/>
      <c r="AD32" s="19"/>
    </row>
    <row r="33" spans="1:30" ht="16.5" x14ac:dyDescent="0.45">
      <c r="A33" s="7" t="s">
        <v>174</v>
      </c>
      <c r="B33" s="7" t="s">
        <v>175</v>
      </c>
      <c r="C33" s="7" t="s">
        <v>127</v>
      </c>
      <c r="D33" s="8" t="str">
        <f t="shared" si="0"/>
        <v>NEHA SMITH</v>
      </c>
      <c r="E33" s="7" t="s">
        <v>57</v>
      </c>
      <c r="F33" s="7">
        <v>31</v>
      </c>
      <c r="G33" s="7" t="s">
        <v>49</v>
      </c>
      <c r="H33" s="7" t="s">
        <v>76</v>
      </c>
      <c r="I33" s="7" t="s">
        <v>176</v>
      </c>
      <c r="J33" s="7">
        <v>115269</v>
      </c>
      <c r="K33" s="7" t="s">
        <v>37</v>
      </c>
      <c r="L33" s="7" t="s">
        <v>177</v>
      </c>
      <c r="M33" s="7" t="s">
        <v>73</v>
      </c>
      <c r="N33" s="10" t="e">
        <f>VLOOKUP(G33,Departments!A32:C37,3,0)</f>
        <v>#N/A</v>
      </c>
      <c r="O33" s="13" t="e">
        <f>INDEX(Departments!C32:C37,MATCH(Employees!G33,Departments!A32:A37,0))</f>
        <v>#N/A</v>
      </c>
      <c r="Q33" s="25" t="s">
        <v>1592</v>
      </c>
      <c r="R33" s="26"/>
      <c r="S33" s="26"/>
      <c r="T33" s="26"/>
      <c r="U33" s="26"/>
      <c r="V33" s="26"/>
      <c r="W33" s="26"/>
      <c r="X33" s="26"/>
      <c r="Y33" s="26"/>
      <c r="Z33" s="26"/>
      <c r="AA33" s="26"/>
      <c r="AB33" s="26"/>
      <c r="AC33" s="26"/>
      <c r="AD33" s="27"/>
    </row>
    <row r="34" spans="1:30" ht="17" thickBot="1" x14ac:dyDescent="0.5">
      <c r="A34" s="6" t="s">
        <v>178</v>
      </c>
      <c r="B34" s="6" t="s">
        <v>175</v>
      </c>
      <c r="C34" s="6" t="s">
        <v>97</v>
      </c>
      <c r="D34" s="8" t="str">
        <f t="shared" si="0"/>
        <v>NEHA SINGH</v>
      </c>
      <c r="E34" s="6" t="s">
        <v>64</v>
      </c>
      <c r="F34" s="6">
        <v>47</v>
      </c>
      <c r="G34" s="6" t="s">
        <v>52</v>
      </c>
      <c r="H34" s="6" t="s">
        <v>58</v>
      </c>
      <c r="I34" s="6" t="s">
        <v>179</v>
      </c>
      <c r="J34" s="6">
        <v>77203</v>
      </c>
      <c r="K34" s="6" t="s">
        <v>18</v>
      </c>
      <c r="L34" s="6" t="s">
        <v>180</v>
      </c>
      <c r="M34" s="6" t="s">
        <v>61</v>
      </c>
      <c r="N34" s="10" t="e">
        <f>VLOOKUP(G34,Departments!A33:C38,3,0)</f>
        <v>#N/A</v>
      </c>
      <c r="O34" s="13" t="e">
        <f>INDEX(Departments!C33:C38,MATCH(Employees!G34,Departments!A33:A38,0))</f>
        <v>#N/A</v>
      </c>
      <c r="Q34" s="28" t="s">
        <v>1591</v>
      </c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30"/>
    </row>
    <row r="35" spans="1:30" x14ac:dyDescent="0.35">
      <c r="A35" s="7" t="s">
        <v>181</v>
      </c>
      <c r="B35" s="7" t="s">
        <v>93</v>
      </c>
      <c r="C35" s="7" t="s">
        <v>115</v>
      </c>
      <c r="D35" s="8" t="str">
        <f t="shared" si="0"/>
        <v>JOHN SEN</v>
      </c>
      <c r="E35" s="7" t="s">
        <v>64</v>
      </c>
      <c r="F35" s="7">
        <v>57</v>
      </c>
      <c r="G35" s="7" t="s">
        <v>49</v>
      </c>
      <c r="H35" s="7" t="s">
        <v>140</v>
      </c>
      <c r="I35" s="7" t="s">
        <v>182</v>
      </c>
      <c r="J35" s="7">
        <v>113291</v>
      </c>
      <c r="K35" s="7" t="s">
        <v>37</v>
      </c>
      <c r="L35" s="7" t="s">
        <v>183</v>
      </c>
      <c r="M35" s="7" t="s">
        <v>73</v>
      </c>
      <c r="N35" s="10" t="e">
        <f>VLOOKUP(G35,Departments!A34:C39,3,0)</f>
        <v>#N/A</v>
      </c>
      <c r="O35" s="13" t="e">
        <f>INDEX(Departments!C34:C39,MATCH(Employees!G35,Departments!A34:A39,0))</f>
        <v>#N/A</v>
      </c>
    </row>
    <row r="36" spans="1:30" x14ac:dyDescent="0.35">
      <c r="A36" s="6" t="s">
        <v>184</v>
      </c>
      <c r="B36" s="6" t="s">
        <v>75</v>
      </c>
      <c r="C36" s="6" t="s">
        <v>111</v>
      </c>
      <c r="D36" s="8" t="str">
        <f t="shared" si="0"/>
        <v>DAVID KHAN</v>
      </c>
      <c r="E36" s="6" t="s">
        <v>57</v>
      </c>
      <c r="F36" s="6">
        <v>45</v>
      </c>
      <c r="G36" s="6" t="s">
        <v>49</v>
      </c>
      <c r="H36" s="6" t="s">
        <v>58</v>
      </c>
      <c r="I36" s="6" t="s">
        <v>185</v>
      </c>
      <c r="J36" s="6">
        <v>93729</v>
      </c>
      <c r="K36" s="6" t="s">
        <v>37</v>
      </c>
      <c r="L36" s="6" t="s">
        <v>186</v>
      </c>
      <c r="M36" s="6" t="s">
        <v>73</v>
      </c>
      <c r="N36" s="10" t="e">
        <f>VLOOKUP(G36,Departments!A35:C40,3,0)</f>
        <v>#N/A</v>
      </c>
      <c r="O36" s="13" t="e">
        <f>INDEX(Departments!C35:C40,MATCH(Employees!G36,Departments!A35:A40,0))</f>
        <v>#N/A</v>
      </c>
    </row>
    <row r="37" spans="1:30" x14ac:dyDescent="0.35">
      <c r="A37" s="7" t="s">
        <v>187</v>
      </c>
      <c r="B37" s="7" t="s">
        <v>69</v>
      </c>
      <c r="C37" s="7" t="s">
        <v>81</v>
      </c>
      <c r="D37" s="8" t="str">
        <f t="shared" si="0"/>
        <v>ROHIT GHOSH</v>
      </c>
      <c r="E37" s="7" t="s">
        <v>64</v>
      </c>
      <c r="F37" s="7">
        <v>40</v>
      </c>
      <c r="G37" s="7" t="s">
        <v>53</v>
      </c>
      <c r="H37" s="7" t="s">
        <v>140</v>
      </c>
      <c r="I37" s="7" t="s">
        <v>188</v>
      </c>
      <c r="J37" s="7">
        <v>35947</v>
      </c>
      <c r="K37" s="7" t="s">
        <v>28</v>
      </c>
      <c r="L37" s="7" t="s">
        <v>189</v>
      </c>
      <c r="M37" s="7" t="s">
        <v>73</v>
      </c>
      <c r="N37" s="10" t="e">
        <f>VLOOKUP(G37,Departments!A36:C41,3,0)</f>
        <v>#N/A</v>
      </c>
      <c r="O37" s="13" t="e">
        <f>INDEX(Departments!C36:C41,MATCH(Employees!G37,Departments!A36:A41,0))</f>
        <v>#N/A</v>
      </c>
    </row>
    <row r="38" spans="1:30" x14ac:dyDescent="0.35">
      <c r="A38" s="6" t="s">
        <v>190</v>
      </c>
      <c r="B38" s="6" t="s">
        <v>55</v>
      </c>
      <c r="C38" s="6" t="s">
        <v>81</v>
      </c>
      <c r="D38" s="8" t="str">
        <f t="shared" si="0"/>
        <v>AMIT GHOSH</v>
      </c>
      <c r="E38" s="6" t="s">
        <v>57</v>
      </c>
      <c r="F38" s="6">
        <v>49</v>
      </c>
      <c r="G38" s="6" t="s">
        <v>53</v>
      </c>
      <c r="H38" s="6" t="s">
        <v>65</v>
      </c>
      <c r="I38" s="6" t="s">
        <v>191</v>
      </c>
      <c r="J38" s="6">
        <v>72311</v>
      </c>
      <c r="K38" s="6" t="s">
        <v>37</v>
      </c>
      <c r="L38" s="6" t="s">
        <v>192</v>
      </c>
      <c r="M38" s="6" t="s">
        <v>73</v>
      </c>
      <c r="N38" s="10" t="e">
        <f>VLOOKUP(G38,Departments!A37:C42,3,0)</f>
        <v>#N/A</v>
      </c>
      <c r="O38" s="13" t="e">
        <f>INDEX(Departments!C37:C42,MATCH(Employees!G38,Departments!A37:A42,0))</f>
        <v>#N/A</v>
      </c>
    </row>
    <row r="39" spans="1:30" x14ac:dyDescent="0.35">
      <c r="A39" s="7" t="s">
        <v>193</v>
      </c>
      <c r="B39" s="7" t="s">
        <v>175</v>
      </c>
      <c r="C39" s="7" t="s">
        <v>122</v>
      </c>
      <c r="D39" s="8" t="str">
        <f t="shared" si="0"/>
        <v>NEHA PAUL</v>
      </c>
      <c r="E39" s="7" t="s">
        <v>64</v>
      </c>
      <c r="F39" s="7">
        <v>53</v>
      </c>
      <c r="G39" s="7" t="s">
        <v>50</v>
      </c>
      <c r="H39" s="7" t="s">
        <v>76</v>
      </c>
      <c r="I39" s="7" t="s">
        <v>194</v>
      </c>
      <c r="J39" s="7">
        <v>38763</v>
      </c>
      <c r="K39" s="7" t="s">
        <v>13</v>
      </c>
      <c r="L39" s="7" t="s">
        <v>195</v>
      </c>
      <c r="M39" s="7" t="s">
        <v>61</v>
      </c>
      <c r="N39" s="10" t="e">
        <f>VLOOKUP(G39,Departments!A38:C43,3,0)</f>
        <v>#N/A</v>
      </c>
      <c r="O39" s="13" t="e">
        <f>INDEX(Departments!C38:C43,MATCH(Employees!G39,Departments!A38:A43,0))</f>
        <v>#N/A</v>
      </c>
    </row>
    <row r="40" spans="1:30" x14ac:dyDescent="0.35">
      <c r="A40" s="6" t="s">
        <v>196</v>
      </c>
      <c r="B40" s="6" t="s">
        <v>75</v>
      </c>
      <c r="C40" s="6" t="s">
        <v>197</v>
      </c>
      <c r="D40" s="8" t="str">
        <f t="shared" si="0"/>
        <v>DAVID BROWN</v>
      </c>
      <c r="E40" s="6" t="s">
        <v>57</v>
      </c>
      <c r="F40" s="6">
        <v>54</v>
      </c>
      <c r="G40" s="6" t="s">
        <v>52</v>
      </c>
      <c r="H40" s="6" t="s">
        <v>70</v>
      </c>
      <c r="I40" s="6" t="s">
        <v>198</v>
      </c>
      <c r="J40" s="6">
        <v>101175</v>
      </c>
      <c r="K40" s="6" t="s">
        <v>13</v>
      </c>
      <c r="L40" s="6" t="s">
        <v>199</v>
      </c>
      <c r="M40" s="6" t="s">
        <v>61</v>
      </c>
      <c r="N40" s="10" t="e">
        <f>VLOOKUP(G40,Departments!A39:C44,3,0)</f>
        <v>#N/A</v>
      </c>
      <c r="O40" s="13" t="e">
        <f>INDEX(Departments!C39:C44,MATCH(Employees!G40,Departments!A39:A44,0))</f>
        <v>#N/A</v>
      </c>
    </row>
    <row r="41" spans="1:30" x14ac:dyDescent="0.35">
      <c r="A41" s="7" t="s">
        <v>200</v>
      </c>
      <c r="B41" s="7" t="s">
        <v>175</v>
      </c>
      <c r="C41" s="7" t="s">
        <v>122</v>
      </c>
      <c r="D41" s="8" t="str">
        <f t="shared" si="0"/>
        <v>NEHA PAUL</v>
      </c>
      <c r="E41" s="7" t="s">
        <v>57</v>
      </c>
      <c r="F41" s="7">
        <v>41</v>
      </c>
      <c r="G41" s="7" t="s">
        <v>51</v>
      </c>
      <c r="H41" s="7" t="s">
        <v>140</v>
      </c>
      <c r="I41" s="7" t="s">
        <v>201</v>
      </c>
      <c r="J41" s="7">
        <v>36386</v>
      </c>
      <c r="K41" s="7" t="s">
        <v>28</v>
      </c>
      <c r="L41" s="7" t="s">
        <v>202</v>
      </c>
      <c r="M41" s="7" t="s">
        <v>61</v>
      </c>
      <c r="N41" s="10" t="e">
        <f>VLOOKUP(G41,Departments!A40:C45,3,0)</f>
        <v>#N/A</v>
      </c>
      <c r="O41" s="13" t="e">
        <f>INDEX(Departments!C40:C45,MATCH(Employees!G41,Departments!A40:A45,0))</f>
        <v>#N/A</v>
      </c>
    </row>
    <row r="42" spans="1:30" x14ac:dyDescent="0.35">
      <c r="A42" s="6" t="s">
        <v>203</v>
      </c>
      <c r="B42" s="6" t="s">
        <v>104</v>
      </c>
      <c r="C42" s="6" t="s">
        <v>81</v>
      </c>
      <c r="D42" s="8" t="str">
        <f t="shared" si="0"/>
        <v>ANITA GHOSH</v>
      </c>
      <c r="E42" s="6" t="s">
        <v>57</v>
      </c>
      <c r="F42" s="6">
        <v>56</v>
      </c>
      <c r="G42" s="6" t="s">
        <v>53</v>
      </c>
      <c r="H42" s="6" t="s">
        <v>76</v>
      </c>
      <c r="I42" s="6" t="s">
        <v>204</v>
      </c>
      <c r="J42" s="6">
        <v>76395</v>
      </c>
      <c r="K42" s="6" t="s">
        <v>30</v>
      </c>
      <c r="L42" s="6" t="s">
        <v>205</v>
      </c>
      <c r="M42" s="6" t="s">
        <v>73</v>
      </c>
      <c r="N42" s="10" t="e">
        <f>VLOOKUP(G42,Departments!A41:C46,3,0)</f>
        <v>#N/A</v>
      </c>
      <c r="O42" s="13" t="e">
        <f>INDEX(Departments!C41:C46,MATCH(Employees!G42,Departments!A41:A46,0))</f>
        <v>#N/A</v>
      </c>
    </row>
    <row r="43" spans="1:30" x14ac:dyDescent="0.35">
      <c r="A43" s="7" t="s">
        <v>206</v>
      </c>
      <c r="B43" s="7" t="s">
        <v>80</v>
      </c>
      <c r="C43" s="7" t="s">
        <v>127</v>
      </c>
      <c r="D43" s="8" t="str">
        <f t="shared" si="0"/>
        <v>JANE SMITH</v>
      </c>
      <c r="E43" s="7" t="s">
        <v>64</v>
      </c>
      <c r="F43" s="7">
        <v>49</v>
      </c>
      <c r="G43" s="7" t="s">
        <v>52</v>
      </c>
      <c r="H43" s="7" t="s">
        <v>140</v>
      </c>
      <c r="I43" s="7" t="s">
        <v>207</v>
      </c>
      <c r="J43" s="7">
        <v>43701</v>
      </c>
      <c r="K43" s="7" t="s">
        <v>13</v>
      </c>
      <c r="L43" s="7" t="s">
        <v>208</v>
      </c>
      <c r="M43" s="7" t="s">
        <v>61</v>
      </c>
      <c r="N43" s="10" t="e">
        <f>VLOOKUP(G43,Departments!A42:C47,3,0)</f>
        <v>#N/A</v>
      </c>
      <c r="O43" s="13" t="e">
        <f>INDEX(Departments!C42:C47,MATCH(Employees!G43,Departments!A42:A47,0))</f>
        <v>#N/A</v>
      </c>
    </row>
    <row r="44" spans="1:30" x14ac:dyDescent="0.35">
      <c r="A44" s="6" t="s">
        <v>209</v>
      </c>
      <c r="B44" s="6" t="s">
        <v>126</v>
      </c>
      <c r="C44" s="6" t="s">
        <v>162</v>
      </c>
      <c r="D44" s="8" t="str">
        <f t="shared" si="0"/>
        <v>PRIYA DAS</v>
      </c>
      <c r="E44" s="6" t="s">
        <v>64</v>
      </c>
      <c r="F44" s="6">
        <v>32</v>
      </c>
      <c r="G44" s="6" t="s">
        <v>51</v>
      </c>
      <c r="H44" s="6" t="s">
        <v>58</v>
      </c>
      <c r="I44" s="6" t="s">
        <v>210</v>
      </c>
      <c r="J44" s="6">
        <v>85198</v>
      </c>
      <c r="K44" s="6" t="s">
        <v>13</v>
      </c>
      <c r="L44" s="6" t="s">
        <v>211</v>
      </c>
      <c r="M44" s="6" t="s">
        <v>61</v>
      </c>
      <c r="N44" s="10" t="e">
        <f>VLOOKUP(G44,Departments!A43:C48,3,0)</f>
        <v>#N/A</v>
      </c>
      <c r="O44" s="13" t="e">
        <f>INDEX(Departments!C43:C48,MATCH(Employees!G44,Departments!A43:A48,0))</f>
        <v>#N/A</v>
      </c>
    </row>
    <row r="45" spans="1:30" x14ac:dyDescent="0.35">
      <c r="A45" s="7" t="s">
        <v>212</v>
      </c>
      <c r="B45" s="7" t="s">
        <v>55</v>
      </c>
      <c r="C45" s="7" t="s">
        <v>162</v>
      </c>
      <c r="D45" s="8" t="str">
        <f t="shared" si="0"/>
        <v>AMIT DAS</v>
      </c>
      <c r="E45" s="7" t="s">
        <v>57</v>
      </c>
      <c r="F45" s="7">
        <v>26</v>
      </c>
      <c r="G45" s="7" t="s">
        <v>49</v>
      </c>
      <c r="H45" s="7" t="s">
        <v>76</v>
      </c>
      <c r="I45" s="7" t="s">
        <v>213</v>
      </c>
      <c r="J45" s="7">
        <v>39451</v>
      </c>
      <c r="K45" s="7" t="s">
        <v>37</v>
      </c>
      <c r="L45" s="7" t="s">
        <v>214</v>
      </c>
      <c r="M45" s="7" t="s">
        <v>61</v>
      </c>
      <c r="N45" s="10" t="e">
        <f>VLOOKUP(G45,Departments!A44:C49,3,0)</f>
        <v>#N/A</v>
      </c>
      <c r="O45" s="13" t="e">
        <f>INDEX(Departments!C44:C49,MATCH(Employees!G45,Departments!A44:A49,0))</f>
        <v>#N/A</v>
      </c>
    </row>
    <row r="46" spans="1:30" x14ac:dyDescent="0.35">
      <c r="A46" s="6" t="s">
        <v>215</v>
      </c>
      <c r="B46" s="6" t="s">
        <v>175</v>
      </c>
      <c r="C46" s="6" t="s">
        <v>197</v>
      </c>
      <c r="D46" s="8" t="str">
        <f t="shared" si="0"/>
        <v>NEHA BROWN</v>
      </c>
      <c r="E46" s="6" t="s">
        <v>57</v>
      </c>
      <c r="F46" s="6">
        <v>26</v>
      </c>
      <c r="G46" s="6" t="s">
        <v>52</v>
      </c>
      <c r="H46" s="6" t="s">
        <v>76</v>
      </c>
      <c r="I46" s="6" t="s">
        <v>216</v>
      </c>
      <c r="J46" s="6">
        <v>45087</v>
      </c>
      <c r="K46" s="6" t="s">
        <v>37</v>
      </c>
      <c r="L46" s="6" t="s">
        <v>217</v>
      </c>
      <c r="M46" s="6" t="s">
        <v>61</v>
      </c>
      <c r="N46" s="10" t="e">
        <f>VLOOKUP(G46,Departments!A45:C50,3,0)</f>
        <v>#N/A</v>
      </c>
      <c r="O46" s="13" t="e">
        <f>INDEX(Departments!C45:C50,MATCH(Employees!G46,Departments!A45:A50,0))</f>
        <v>#N/A</v>
      </c>
    </row>
    <row r="47" spans="1:30" x14ac:dyDescent="0.35">
      <c r="A47" s="7" t="s">
        <v>218</v>
      </c>
      <c r="B47" s="7" t="s">
        <v>69</v>
      </c>
      <c r="C47" s="7" t="s">
        <v>127</v>
      </c>
      <c r="D47" s="8" t="str">
        <f t="shared" si="0"/>
        <v>ROHIT SMITH</v>
      </c>
      <c r="E47" s="7" t="s">
        <v>64</v>
      </c>
      <c r="F47" s="7">
        <v>26</v>
      </c>
      <c r="G47" s="7" t="s">
        <v>52</v>
      </c>
      <c r="H47" s="7" t="s">
        <v>58</v>
      </c>
      <c r="I47" s="7" t="s">
        <v>219</v>
      </c>
      <c r="J47" s="7">
        <v>38222</v>
      </c>
      <c r="K47" s="7" t="s">
        <v>28</v>
      </c>
      <c r="L47" s="7" t="s">
        <v>220</v>
      </c>
      <c r="M47" s="7" t="s">
        <v>73</v>
      </c>
      <c r="N47" s="10" t="e">
        <f>VLOOKUP(G47,Departments!A46:C51,3,0)</f>
        <v>#N/A</v>
      </c>
      <c r="O47" s="13" t="e">
        <f>INDEX(Departments!C46:C51,MATCH(Employees!G47,Departments!A46:A51,0))</f>
        <v>#N/A</v>
      </c>
    </row>
    <row r="48" spans="1:30" x14ac:dyDescent="0.35">
      <c r="A48" s="6" t="s">
        <v>221</v>
      </c>
      <c r="B48" s="6" t="s">
        <v>104</v>
      </c>
      <c r="C48" s="6" t="s">
        <v>97</v>
      </c>
      <c r="D48" s="8" t="str">
        <f t="shared" si="0"/>
        <v>ANITA SINGH</v>
      </c>
      <c r="E48" s="6" t="s">
        <v>57</v>
      </c>
      <c r="F48" s="6">
        <v>57</v>
      </c>
      <c r="G48" s="6" t="s">
        <v>51</v>
      </c>
      <c r="H48" s="6" t="s">
        <v>65</v>
      </c>
      <c r="I48" s="6" t="s">
        <v>222</v>
      </c>
      <c r="J48" s="6">
        <v>96188</v>
      </c>
      <c r="K48" s="6" t="s">
        <v>13</v>
      </c>
      <c r="L48" s="6" t="s">
        <v>223</v>
      </c>
      <c r="M48" s="6" t="s">
        <v>61</v>
      </c>
      <c r="N48" s="10" t="e">
        <f>VLOOKUP(G48,Departments!A47:C52,3,0)</f>
        <v>#N/A</v>
      </c>
      <c r="O48" s="13" t="e">
        <f>INDEX(Departments!C47:C52,MATCH(Employees!G48,Departments!A47:A52,0))</f>
        <v>#N/A</v>
      </c>
    </row>
    <row r="49" spans="1:15" x14ac:dyDescent="0.35">
      <c r="A49" s="7" t="s">
        <v>224</v>
      </c>
      <c r="B49" s="7" t="s">
        <v>85</v>
      </c>
      <c r="C49" s="7" t="s">
        <v>115</v>
      </c>
      <c r="D49" s="8" t="str">
        <f t="shared" si="0"/>
        <v>RAHUL SEN</v>
      </c>
      <c r="E49" s="7" t="s">
        <v>64</v>
      </c>
      <c r="F49" s="7">
        <v>32</v>
      </c>
      <c r="G49" s="7" t="s">
        <v>50</v>
      </c>
      <c r="H49" s="7" t="s">
        <v>58</v>
      </c>
      <c r="I49" s="7" t="s">
        <v>225</v>
      </c>
      <c r="J49" s="7">
        <v>106013</v>
      </c>
      <c r="K49" s="7" t="s">
        <v>37</v>
      </c>
      <c r="L49" s="7" t="s">
        <v>226</v>
      </c>
      <c r="M49" s="7" t="s">
        <v>61</v>
      </c>
      <c r="N49" s="10" t="e">
        <f>VLOOKUP(G49,Departments!A48:C53,3,0)</f>
        <v>#N/A</v>
      </c>
      <c r="O49" s="13" t="e">
        <f>INDEX(Departments!C48:C53,MATCH(Employees!G49,Departments!A48:A53,0))</f>
        <v>#N/A</v>
      </c>
    </row>
    <row r="50" spans="1:15" x14ac:dyDescent="0.35">
      <c r="A50" s="6" t="s">
        <v>227</v>
      </c>
      <c r="B50" s="6" t="s">
        <v>89</v>
      </c>
      <c r="C50" s="6" t="s">
        <v>127</v>
      </c>
      <c r="D50" s="8" t="str">
        <f t="shared" si="0"/>
        <v>SARA SMITH</v>
      </c>
      <c r="E50" s="6" t="s">
        <v>64</v>
      </c>
      <c r="F50" s="6">
        <v>52</v>
      </c>
      <c r="G50" s="6" t="s">
        <v>52</v>
      </c>
      <c r="H50" s="6" t="s">
        <v>65</v>
      </c>
      <c r="I50" s="6" t="s">
        <v>228</v>
      </c>
      <c r="J50" s="6">
        <v>82014</v>
      </c>
      <c r="K50" s="6" t="s">
        <v>30</v>
      </c>
      <c r="L50" s="6" t="s">
        <v>229</v>
      </c>
      <c r="M50" s="6" t="s">
        <v>61</v>
      </c>
      <c r="N50" s="10" t="e">
        <f>VLOOKUP(G50,Departments!A49:C54,3,0)</f>
        <v>#N/A</v>
      </c>
      <c r="O50" s="13" t="e">
        <f>INDEX(Departments!C49:C54,MATCH(Employees!G50,Departments!A49:A54,0))</f>
        <v>#N/A</v>
      </c>
    </row>
    <row r="51" spans="1:15" x14ac:dyDescent="0.35">
      <c r="A51" s="7" t="s">
        <v>230</v>
      </c>
      <c r="B51" s="7" t="s">
        <v>75</v>
      </c>
      <c r="C51" s="7" t="s">
        <v>127</v>
      </c>
      <c r="D51" s="8" t="str">
        <f t="shared" si="0"/>
        <v>DAVID SMITH</v>
      </c>
      <c r="E51" s="7" t="s">
        <v>64</v>
      </c>
      <c r="F51" s="7">
        <v>46</v>
      </c>
      <c r="G51" s="7" t="s">
        <v>52</v>
      </c>
      <c r="H51" s="7" t="s">
        <v>76</v>
      </c>
      <c r="I51" s="7" t="s">
        <v>156</v>
      </c>
      <c r="J51" s="7">
        <v>84323</v>
      </c>
      <c r="K51" s="7" t="s">
        <v>18</v>
      </c>
      <c r="L51" s="7" t="s">
        <v>231</v>
      </c>
      <c r="M51" s="7" t="s">
        <v>61</v>
      </c>
      <c r="N51" s="10" t="e">
        <f>VLOOKUP(G51,Departments!A50:C55,3,0)</f>
        <v>#N/A</v>
      </c>
      <c r="O51" s="13" t="e">
        <f>INDEX(Departments!C50:C55,MATCH(Employees!G51,Departments!A50:A55,0))</f>
        <v>#N/A</v>
      </c>
    </row>
    <row r="52" spans="1:15" x14ac:dyDescent="0.35">
      <c r="A52" s="6" t="s">
        <v>232</v>
      </c>
      <c r="B52" s="6" t="s">
        <v>93</v>
      </c>
      <c r="C52" s="6" t="s">
        <v>97</v>
      </c>
      <c r="D52" s="8" t="str">
        <f t="shared" si="0"/>
        <v>JOHN SINGH</v>
      </c>
      <c r="E52" s="6" t="s">
        <v>57</v>
      </c>
      <c r="F52" s="6">
        <v>42</v>
      </c>
      <c r="G52" s="6" t="s">
        <v>49</v>
      </c>
      <c r="H52" s="6" t="s">
        <v>58</v>
      </c>
      <c r="I52" s="6" t="s">
        <v>233</v>
      </c>
      <c r="J52" s="6">
        <v>93289</v>
      </c>
      <c r="K52" s="6" t="s">
        <v>28</v>
      </c>
      <c r="L52" s="6" t="s">
        <v>234</v>
      </c>
      <c r="M52" s="6" t="s">
        <v>73</v>
      </c>
      <c r="N52" s="10" t="e">
        <f>VLOOKUP(G52,Departments!A51:C56,3,0)</f>
        <v>#N/A</v>
      </c>
      <c r="O52" s="13" t="e">
        <f>INDEX(Departments!C51:C56,MATCH(Employees!G52,Departments!A51:A56,0))</f>
        <v>#N/A</v>
      </c>
    </row>
    <row r="53" spans="1:15" x14ac:dyDescent="0.35">
      <c r="A53" s="7" t="s">
        <v>235</v>
      </c>
      <c r="B53" s="7" t="s">
        <v>75</v>
      </c>
      <c r="C53" s="7" t="s">
        <v>162</v>
      </c>
      <c r="D53" s="8" t="str">
        <f t="shared" si="0"/>
        <v>DAVID DAS</v>
      </c>
      <c r="E53" s="7" t="s">
        <v>57</v>
      </c>
      <c r="F53" s="7">
        <v>46</v>
      </c>
      <c r="G53" s="7" t="s">
        <v>53</v>
      </c>
      <c r="H53" s="7" t="s">
        <v>76</v>
      </c>
      <c r="I53" s="7" t="s">
        <v>236</v>
      </c>
      <c r="J53" s="7">
        <v>43926</v>
      </c>
      <c r="K53" s="7" t="s">
        <v>37</v>
      </c>
      <c r="L53" s="7" t="s">
        <v>237</v>
      </c>
      <c r="M53" s="7" t="s">
        <v>73</v>
      </c>
      <c r="N53" s="10" t="e">
        <f>VLOOKUP(G53,Departments!A52:C57,3,0)</f>
        <v>#N/A</v>
      </c>
      <c r="O53" s="13" t="e">
        <f>INDEX(Departments!C52:C57,MATCH(Employees!G53,Departments!A52:A57,0))</f>
        <v>#N/A</v>
      </c>
    </row>
    <row r="54" spans="1:15" x14ac:dyDescent="0.35">
      <c r="A54" s="6" t="s">
        <v>238</v>
      </c>
      <c r="B54" s="6" t="s">
        <v>69</v>
      </c>
      <c r="C54" s="6" t="s">
        <v>63</v>
      </c>
      <c r="D54" s="8" t="str">
        <f t="shared" si="0"/>
        <v>ROHIT ROY</v>
      </c>
      <c r="E54" s="6" t="s">
        <v>64</v>
      </c>
      <c r="F54" s="6">
        <v>57</v>
      </c>
      <c r="G54" s="6" t="s">
        <v>49</v>
      </c>
      <c r="H54" s="6" t="s">
        <v>70</v>
      </c>
      <c r="I54" s="6" t="s">
        <v>239</v>
      </c>
      <c r="J54" s="6">
        <v>102761</v>
      </c>
      <c r="K54" s="6" t="s">
        <v>28</v>
      </c>
      <c r="L54" s="6" t="s">
        <v>240</v>
      </c>
      <c r="M54" s="6" t="s">
        <v>73</v>
      </c>
      <c r="N54" s="10" t="e">
        <f>VLOOKUP(G54,Departments!A53:C58,3,0)</f>
        <v>#N/A</v>
      </c>
      <c r="O54" s="13" t="e">
        <f>INDEX(Departments!C53:C58,MATCH(Employees!G54,Departments!A53:A58,0))</f>
        <v>#N/A</v>
      </c>
    </row>
    <row r="55" spans="1:15" x14ac:dyDescent="0.35">
      <c r="A55" s="7" t="s">
        <v>241</v>
      </c>
      <c r="B55" s="7" t="s">
        <v>126</v>
      </c>
      <c r="C55" s="7" t="s">
        <v>127</v>
      </c>
      <c r="D55" s="8" t="str">
        <f t="shared" si="0"/>
        <v>PRIYA SMITH</v>
      </c>
      <c r="E55" s="7" t="s">
        <v>64</v>
      </c>
      <c r="F55" s="7">
        <v>58</v>
      </c>
      <c r="G55" s="7" t="s">
        <v>50</v>
      </c>
      <c r="H55" s="7" t="s">
        <v>140</v>
      </c>
      <c r="I55" s="7" t="s">
        <v>242</v>
      </c>
      <c r="J55" s="7">
        <v>109960</v>
      </c>
      <c r="K55" s="7" t="s">
        <v>28</v>
      </c>
      <c r="L55" s="7" t="s">
        <v>243</v>
      </c>
      <c r="M55" s="7" t="s">
        <v>73</v>
      </c>
      <c r="N55" s="10" t="e">
        <f>VLOOKUP(G55,Departments!A54:C59,3,0)</f>
        <v>#N/A</v>
      </c>
      <c r="O55" s="13" t="e">
        <f>INDEX(Departments!C54:C59,MATCH(Employees!G55,Departments!A54:A59,0))</f>
        <v>#N/A</v>
      </c>
    </row>
    <row r="56" spans="1:15" x14ac:dyDescent="0.35">
      <c r="A56" s="6" t="s">
        <v>244</v>
      </c>
      <c r="B56" s="6" t="s">
        <v>104</v>
      </c>
      <c r="C56" s="6" t="s">
        <v>197</v>
      </c>
      <c r="D56" s="8" t="str">
        <f t="shared" si="0"/>
        <v>ANITA BROWN</v>
      </c>
      <c r="E56" s="6" t="s">
        <v>64</v>
      </c>
      <c r="F56" s="6">
        <v>42</v>
      </c>
      <c r="G56" s="6" t="s">
        <v>50</v>
      </c>
      <c r="H56" s="6" t="s">
        <v>65</v>
      </c>
      <c r="I56" s="6" t="s">
        <v>245</v>
      </c>
      <c r="J56" s="6">
        <v>83308</v>
      </c>
      <c r="K56" s="6" t="s">
        <v>13</v>
      </c>
      <c r="L56" s="6" t="s">
        <v>246</v>
      </c>
      <c r="M56" s="6" t="s">
        <v>73</v>
      </c>
      <c r="N56" s="10" t="e">
        <f>VLOOKUP(G56,Departments!A55:C60,3,0)</f>
        <v>#N/A</v>
      </c>
      <c r="O56" s="13" t="e">
        <f>INDEX(Departments!C55:C60,MATCH(Employees!G56,Departments!A55:A60,0))</f>
        <v>#N/A</v>
      </c>
    </row>
    <row r="57" spans="1:15" x14ac:dyDescent="0.35">
      <c r="A57" s="7" t="s">
        <v>247</v>
      </c>
      <c r="B57" s="7" t="s">
        <v>104</v>
      </c>
      <c r="C57" s="7" t="s">
        <v>81</v>
      </c>
      <c r="D57" s="8" t="str">
        <f t="shared" si="0"/>
        <v>ANITA GHOSH</v>
      </c>
      <c r="E57" s="7" t="s">
        <v>64</v>
      </c>
      <c r="F57" s="7">
        <v>26</v>
      </c>
      <c r="G57" s="7" t="s">
        <v>50</v>
      </c>
      <c r="H57" s="7" t="s">
        <v>140</v>
      </c>
      <c r="I57" s="7" t="s">
        <v>248</v>
      </c>
      <c r="J57" s="7">
        <v>44078</v>
      </c>
      <c r="K57" s="7" t="s">
        <v>28</v>
      </c>
      <c r="L57" s="7" t="s">
        <v>249</v>
      </c>
      <c r="M57" s="7" t="s">
        <v>73</v>
      </c>
      <c r="N57" s="10" t="e">
        <f>VLOOKUP(G57,Departments!A56:C61,3,0)</f>
        <v>#N/A</v>
      </c>
      <c r="O57" s="13" t="e">
        <f>INDEX(Departments!C56:C61,MATCH(Employees!G57,Departments!A56:A61,0))</f>
        <v>#N/A</v>
      </c>
    </row>
    <row r="58" spans="1:15" x14ac:dyDescent="0.35">
      <c r="A58" s="6" t="s">
        <v>250</v>
      </c>
      <c r="B58" s="6" t="s">
        <v>69</v>
      </c>
      <c r="C58" s="6" t="s">
        <v>97</v>
      </c>
      <c r="D58" s="8" t="str">
        <f t="shared" si="0"/>
        <v>ROHIT SINGH</v>
      </c>
      <c r="E58" s="6" t="s">
        <v>64</v>
      </c>
      <c r="F58" s="6">
        <v>32</v>
      </c>
      <c r="G58" s="6" t="s">
        <v>49</v>
      </c>
      <c r="H58" s="6" t="s">
        <v>65</v>
      </c>
      <c r="I58" s="6" t="s">
        <v>251</v>
      </c>
      <c r="J58" s="6">
        <v>60444</v>
      </c>
      <c r="K58" s="6" t="s">
        <v>28</v>
      </c>
      <c r="L58" s="6" t="s">
        <v>252</v>
      </c>
      <c r="M58" s="6" t="s">
        <v>73</v>
      </c>
      <c r="N58" s="10" t="e">
        <f>VLOOKUP(G58,Departments!A57:C62,3,0)</f>
        <v>#N/A</v>
      </c>
      <c r="O58" s="13" t="e">
        <f>INDEX(Departments!C57:C62,MATCH(Employees!G58,Departments!A57:A62,0))</f>
        <v>#N/A</v>
      </c>
    </row>
    <row r="59" spans="1:15" x14ac:dyDescent="0.35">
      <c r="A59" s="7" t="s">
        <v>253</v>
      </c>
      <c r="B59" s="7" t="s">
        <v>93</v>
      </c>
      <c r="C59" s="7" t="s">
        <v>111</v>
      </c>
      <c r="D59" s="8" t="str">
        <f t="shared" si="0"/>
        <v>JOHN KHAN</v>
      </c>
      <c r="E59" s="7" t="s">
        <v>64</v>
      </c>
      <c r="F59" s="7">
        <v>26</v>
      </c>
      <c r="G59" s="7" t="s">
        <v>52</v>
      </c>
      <c r="H59" s="7" t="s">
        <v>65</v>
      </c>
      <c r="I59" s="7" t="s">
        <v>254</v>
      </c>
      <c r="J59" s="7">
        <v>37951</v>
      </c>
      <c r="K59" s="7" t="s">
        <v>18</v>
      </c>
      <c r="L59" s="7" t="s">
        <v>255</v>
      </c>
      <c r="M59" s="7" t="s">
        <v>73</v>
      </c>
      <c r="N59" s="10" t="e">
        <f>VLOOKUP(G59,Departments!A58:C63,3,0)</f>
        <v>#N/A</v>
      </c>
      <c r="O59" s="13" t="e">
        <f>INDEX(Departments!C58:C63,MATCH(Employees!G59,Departments!A58:A63,0))</f>
        <v>#N/A</v>
      </c>
    </row>
    <row r="60" spans="1:15" x14ac:dyDescent="0.35">
      <c r="A60" s="6" t="s">
        <v>256</v>
      </c>
      <c r="B60" s="6" t="s">
        <v>104</v>
      </c>
      <c r="C60" s="6" t="s">
        <v>162</v>
      </c>
      <c r="D60" s="8" t="str">
        <f t="shared" si="0"/>
        <v>ANITA DAS</v>
      </c>
      <c r="E60" s="6" t="s">
        <v>64</v>
      </c>
      <c r="F60" s="6">
        <v>36</v>
      </c>
      <c r="G60" s="6" t="s">
        <v>50</v>
      </c>
      <c r="H60" s="6" t="s">
        <v>65</v>
      </c>
      <c r="I60" s="6" t="s">
        <v>257</v>
      </c>
      <c r="J60" s="6">
        <v>88790</v>
      </c>
      <c r="K60" s="6" t="s">
        <v>37</v>
      </c>
      <c r="L60" s="6" t="s">
        <v>258</v>
      </c>
      <c r="M60" s="6" t="s">
        <v>73</v>
      </c>
      <c r="N60" s="10" t="e">
        <f>VLOOKUP(G60,Departments!A59:C64,3,0)</f>
        <v>#N/A</v>
      </c>
      <c r="O60" s="13" t="e">
        <f>INDEX(Departments!C59:C64,MATCH(Employees!G60,Departments!A59:A64,0))</f>
        <v>#N/A</v>
      </c>
    </row>
    <row r="61" spans="1:15" x14ac:dyDescent="0.35">
      <c r="A61" s="7" t="s">
        <v>259</v>
      </c>
      <c r="B61" s="7" t="s">
        <v>75</v>
      </c>
      <c r="C61" s="7" t="s">
        <v>97</v>
      </c>
      <c r="D61" s="8" t="str">
        <f t="shared" si="0"/>
        <v>DAVID SINGH</v>
      </c>
      <c r="E61" s="7" t="s">
        <v>64</v>
      </c>
      <c r="F61" s="7">
        <v>50</v>
      </c>
      <c r="G61" s="7" t="s">
        <v>50</v>
      </c>
      <c r="H61" s="7" t="s">
        <v>70</v>
      </c>
      <c r="I61" s="7" t="s">
        <v>260</v>
      </c>
      <c r="J61" s="7">
        <v>119530</v>
      </c>
      <c r="K61" s="7" t="s">
        <v>30</v>
      </c>
      <c r="L61" s="7" t="s">
        <v>261</v>
      </c>
      <c r="M61" s="7" t="s">
        <v>73</v>
      </c>
      <c r="N61" s="10" t="e">
        <f>VLOOKUP(G61,Departments!A60:C65,3,0)</f>
        <v>#N/A</v>
      </c>
      <c r="O61" s="13" t="e">
        <f>INDEX(Departments!C60:C65,MATCH(Employees!G61,Departments!A60:A65,0))</f>
        <v>#N/A</v>
      </c>
    </row>
    <row r="62" spans="1:15" x14ac:dyDescent="0.35">
      <c r="A62" s="6" t="s">
        <v>262</v>
      </c>
      <c r="B62" s="6" t="s">
        <v>175</v>
      </c>
      <c r="C62" s="6" t="s">
        <v>111</v>
      </c>
      <c r="D62" s="8" t="str">
        <f t="shared" si="0"/>
        <v>NEHA KHAN</v>
      </c>
      <c r="E62" s="6" t="s">
        <v>57</v>
      </c>
      <c r="F62" s="6">
        <v>30</v>
      </c>
      <c r="G62" s="6" t="s">
        <v>49</v>
      </c>
      <c r="H62" s="6" t="s">
        <v>140</v>
      </c>
      <c r="I62" s="6" t="s">
        <v>263</v>
      </c>
      <c r="J62" s="6">
        <v>72048</v>
      </c>
      <c r="K62" s="6" t="s">
        <v>28</v>
      </c>
      <c r="L62" s="6" t="s">
        <v>264</v>
      </c>
      <c r="M62" s="6" t="s">
        <v>73</v>
      </c>
      <c r="N62" s="10" t="e">
        <f>VLOOKUP(G62,Departments!A61:C66,3,0)</f>
        <v>#N/A</v>
      </c>
      <c r="O62" s="13" t="e">
        <f>INDEX(Departments!C61:C66,MATCH(Employees!G62,Departments!A61:A66,0))</f>
        <v>#N/A</v>
      </c>
    </row>
    <row r="63" spans="1:15" x14ac:dyDescent="0.35">
      <c r="A63" s="7" t="s">
        <v>265</v>
      </c>
      <c r="B63" s="7" t="s">
        <v>89</v>
      </c>
      <c r="C63" s="7" t="s">
        <v>122</v>
      </c>
      <c r="D63" s="8" t="str">
        <f t="shared" si="0"/>
        <v>SARA PAUL</v>
      </c>
      <c r="E63" s="7" t="s">
        <v>64</v>
      </c>
      <c r="F63" s="7">
        <v>33</v>
      </c>
      <c r="G63" s="7" t="s">
        <v>52</v>
      </c>
      <c r="H63" s="7" t="s">
        <v>70</v>
      </c>
      <c r="I63" s="7" t="s">
        <v>266</v>
      </c>
      <c r="J63" s="7">
        <v>76700</v>
      </c>
      <c r="K63" s="7" t="s">
        <v>13</v>
      </c>
      <c r="L63" s="7" t="s">
        <v>267</v>
      </c>
      <c r="M63" s="7" t="s">
        <v>73</v>
      </c>
      <c r="N63" s="10" t="e">
        <f>VLOOKUP(G63,Departments!A62:C67,3,0)</f>
        <v>#N/A</v>
      </c>
      <c r="O63" s="13" t="e">
        <f>INDEX(Departments!C62:C67,MATCH(Employees!G63,Departments!A62:A67,0))</f>
        <v>#N/A</v>
      </c>
    </row>
    <row r="64" spans="1:15" x14ac:dyDescent="0.35">
      <c r="A64" s="6" t="s">
        <v>268</v>
      </c>
      <c r="B64" s="6" t="s">
        <v>104</v>
      </c>
      <c r="C64" s="6" t="s">
        <v>162</v>
      </c>
      <c r="D64" s="8" t="str">
        <f t="shared" si="0"/>
        <v>ANITA DAS</v>
      </c>
      <c r="E64" s="6" t="s">
        <v>64</v>
      </c>
      <c r="F64" s="6">
        <v>22</v>
      </c>
      <c r="G64" s="6" t="s">
        <v>49</v>
      </c>
      <c r="H64" s="6" t="s">
        <v>76</v>
      </c>
      <c r="I64" s="6" t="s">
        <v>269</v>
      </c>
      <c r="J64" s="6">
        <v>86315</v>
      </c>
      <c r="K64" s="6" t="s">
        <v>13</v>
      </c>
      <c r="L64" s="6" t="s">
        <v>270</v>
      </c>
      <c r="M64" s="6" t="s">
        <v>73</v>
      </c>
      <c r="N64" s="10" t="e">
        <f>VLOOKUP(G64,Departments!A63:C68,3,0)</f>
        <v>#N/A</v>
      </c>
      <c r="O64" s="13" t="e">
        <f>INDEX(Departments!C63:C68,MATCH(Employees!G64,Departments!A63:A68,0))</f>
        <v>#N/A</v>
      </c>
    </row>
    <row r="65" spans="1:15" x14ac:dyDescent="0.35">
      <c r="A65" s="7" t="s">
        <v>271</v>
      </c>
      <c r="B65" s="7" t="s">
        <v>75</v>
      </c>
      <c r="C65" s="7" t="s">
        <v>115</v>
      </c>
      <c r="D65" s="8" t="str">
        <f t="shared" si="0"/>
        <v>DAVID SEN</v>
      </c>
      <c r="E65" s="7" t="s">
        <v>57</v>
      </c>
      <c r="F65" s="7">
        <v>49</v>
      </c>
      <c r="G65" s="7" t="s">
        <v>50</v>
      </c>
      <c r="H65" s="7" t="s">
        <v>70</v>
      </c>
      <c r="I65" s="7" t="s">
        <v>272</v>
      </c>
      <c r="J65" s="7">
        <v>85454</v>
      </c>
      <c r="K65" s="7" t="s">
        <v>18</v>
      </c>
      <c r="L65" s="7" t="s">
        <v>273</v>
      </c>
      <c r="M65" s="7" t="s">
        <v>61</v>
      </c>
      <c r="N65" s="10" t="e">
        <f>VLOOKUP(G65,Departments!A64:C69,3,0)</f>
        <v>#N/A</v>
      </c>
      <c r="O65" s="13" t="e">
        <f>INDEX(Departments!C64:C69,MATCH(Employees!G65,Departments!A64:A69,0))</f>
        <v>#N/A</v>
      </c>
    </row>
    <row r="66" spans="1:15" x14ac:dyDescent="0.35">
      <c r="A66" s="6" t="s">
        <v>274</v>
      </c>
      <c r="B66" s="6" t="s">
        <v>69</v>
      </c>
      <c r="C66" s="6" t="s">
        <v>122</v>
      </c>
      <c r="D66" s="8" t="str">
        <f t="shared" si="0"/>
        <v>ROHIT PAUL</v>
      </c>
      <c r="E66" s="6" t="s">
        <v>64</v>
      </c>
      <c r="F66" s="6">
        <v>31</v>
      </c>
      <c r="G66" s="6" t="s">
        <v>49</v>
      </c>
      <c r="H66" s="6" t="s">
        <v>70</v>
      </c>
      <c r="I66" s="6" t="s">
        <v>275</v>
      </c>
      <c r="J66" s="6">
        <v>83281</v>
      </c>
      <c r="K66" s="6" t="s">
        <v>13</v>
      </c>
      <c r="L66" s="6" t="s">
        <v>276</v>
      </c>
      <c r="M66" s="6" t="s">
        <v>73</v>
      </c>
      <c r="N66" s="10" t="e">
        <f>VLOOKUP(G66,Departments!A65:C70,3,0)</f>
        <v>#N/A</v>
      </c>
      <c r="O66" s="13" t="e">
        <f>INDEX(Departments!C65:C70,MATCH(Employees!G66,Departments!A65:A70,0))</f>
        <v>#N/A</v>
      </c>
    </row>
    <row r="67" spans="1:15" x14ac:dyDescent="0.35">
      <c r="A67" s="7" t="s">
        <v>277</v>
      </c>
      <c r="B67" s="7" t="s">
        <v>93</v>
      </c>
      <c r="C67" s="7" t="s">
        <v>197</v>
      </c>
      <c r="D67" s="8" t="str">
        <f t="shared" ref="D67:D130" si="1">UPPER(_xlfn.CONCAT(B67," ",C67))</f>
        <v>JOHN BROWN</v>
      </c>
      <c r="E67" s="7" t="s">
        <v>57</v>
      </c>
      <c r="F67" s="7">
        <v>31</v>
      </c>
      <c r="G67" s="7" t="s">
        <v>49</v>
      </c>
      <c r="H67" s="7" t="s">
        <v>76</v>
      </c>
      <c r="I67" s="7" t="s">
        <v>278</v>
      </c>
      <c r="J67" s="7">
        <v>44531</v>
      </c>
      <c r="K67" s="7" t="s">
        <v>18</v>
      </c>
      <c r="L67" s="7" t="s">
        <v>279</v>
      </c>
      <c r="M67" s="7" t="s">
        <v>61</v>
      </c>
      <c r="N67" s="10" t="e">
        <f>VLOOKUP(G67,Departments!A66:C71,3,0)</f>
        <v>#N/A</v>
      </c>
      <c r="O67" s="13" t="e">
        <f>INDEX(Departments!C66:C71,MATCH(Employees!G67,Departments!A66:A71,0))</f>
        <v>#N/A</v>
      </c>
    </row>
    <row r="68" spans="1:15" x14ac:dyDescent="0.35">
      <c r="A68" s="6" t="s">
        <v>280</v>
      </c>
      <c r="B68" s="6" t="s">
        <v>75</v>
      </c>
      <c r="C68" s="6" t="s">
        <v>162</v>
      </c>
      <c r="D68" s="8" t="str">
        <f t="shared" si="1"/>
        <v>DAVID DAS</v>
      </c>
      <c r="E68" s="6" t="s">
        <v>64</v>
      </c>
      <c r="F68" s="6">
        <v>36</v>
      </c>
      <c r="G68" s="6" t="s">
        <v>52</v>
      </c>
      <c r="H68" s="6" t="s">
        <v>58</v>
      </c>
      <c r="I68" s="6" t="s">
        <v>281</v>
      </c>
      <c r="J68" s="6">
        <v>44990</v>
      </c>
      <c r="K68" s="6" t="s">
        <v>37</v>
      </c>
      <c r="L68" s="6" t="s">
        <v>282</v>
      </c>
      <c r="M68" s="6" t="s">
        <v>61</v>
      </c>
      <c r="N68" s="10" t="e">
        <f>VLOOKUP(G68,Departments!A67:C72,3,0)</f>
        <v>#N/A</v>
      </c>
      <c r="O68" s="13" t="e">
        <f>INDEX(Departments!C67:C72,MATCH(Employees!G68,Departments!A67:A72,0))</f>
        <v>#N/A</v>
      </c>
    </row>
    <row r="69" spans="1:15" x14ac:dyDescent="0.35">
      <c r="A69" s="7" t="s">
        <v>283</v>
      </c>
      <c r="B69" s="7" t="s">
        <v>80</v>
      </c>
      <c r="C69" s="7" t="s">
        <v>63</v>
      </c>
      <c r="D69" s="8" t="str">
        <f t="shared" si="1"/>
        <v>JANE ROY</v>
      </c>
      <c r="E69" s="7" t="s">
        <v>57</v>
      </c>
      <c r="F69" s="7">
        <v>34</v>
      </c>
      <c r="G69" s="7" t="s">
        <v>49</v>
      </c>
      <c r="H69" s="7" t="s">
        <v>70</v>
      </c>
      <c r="I69" s="7" t="s">
        <v>284</v>
      </c>
      <c r="J69" s="7">
        <v>39110</v>
      </c>
      <c r="K69" s="7" t="s">
        <v>18</v>
      </c>
      <c r="L69" s="7" t="s">
        <v>285</v>
      </c>
      <c r="M69" s="7" t="s">
        <v>73</v>
      </c>
      <c r="N69" s="10" t="e">
        <f>VLOOKUP(G69,Departments!A68:C73,3,0)</f>
        <v>#N/A</v>
      </c>
      <c r="O69" s="13" t="e">
        <f>INDEX(Departments!C68:C73,MATCH(Employees!G69,Departments!A68:A73,0))</f>
        <v>#N/A</v>
      </c>
    </row>
    <row r="70" spans="1:15" x14ac:dyDescent="0.35">
      <c r="A70" s="6" t="s">
        <v>286</v>
      </c>
      <c r="B70" s="6" t="s">
        <v>55</v>
      </c>
      <c r="C70" s="6" t="s">
        <v>81</v>
      </c>
      <c r="D70" s="8" t="str">
        <f t="shared" si="1"/>
        <v>AMIT GHOSH</v>
      </c>
      <c r="E70" s="6" t="s">
        <v>64</v>
      </c>
      <c r="F70" s="6">
        <v>35</v>
      </c>
      <c r="G70" s="6" t="s">
        <v>50</v>
      </c>
      <c r="H70" s="6" t="s">
        <v>76</v>
      </c>
      <c r="I70" s="6" t="s">
        <v>287</v>
      </c>
      <c r="J70" s="6">
        <v>60760</v>
      </c>
      <c r="K70" s="6" t="s">
        <v>37</v>
      </c>
      <c r="L70" s="6" t="s">
        <v>288</v>
      </c>
      <c r="M70" s="6" t="s">
        <v>73</v>
      </c>
      <c r="N70" s="10" t="e">
        <f>VLOOKUP(G70,Departments!A69:C74,3,0)</f>
        <v>#N/A</v>
      </c>
      <c r="O70" s="13" t="e">
        <f>INDEX(Departments!C69:C74,MATCH(Employees!G70,Departments!A69:A74,0))</f>
        <v>#N/A</v>
      </c>
    </row>
    <row r="71" spans="1:15" x14ac:dyDescent="0.35">
      <c r="A71" s="7" t="s">
        <v>289</v>
      </c>
      <c r="B71" s="7" t="s">
        <v>75</v>
      </c>
      <c r="C71" s="7" t="s">
        <v>122</v>
      </c>
      <c r="D71" s="8" t="str">
        <f t="shared" si="1"/>
        <v>DAVID PAUL</v>
      </c>
      <c r="E71" s="7" t="s">
        <v>57</v>
      </c>
      <c r="F71" s="7">
        <v>27</v>
      </c>
      <c r="G71" s="7" t="s">
        <v>52</v>
      </c>
      <c r="H71" s="7" t="s">
        <v>65</v>
      </c>
      <c r="I71" s="7" t="s">
        <v>290</v>
      </c>
      <c r="J71" s="7">
        <v>118796</v>
      </c>
      <c r="K71" s="7" t="s">
        <v>13</v>
      </c>
      <c r="L71" s="7" t="s">
        <v>291</v>
      </c>
      <c r="M71" s="7" t="s">
        <v>73</v>
      </c>
      <c r="N71" s="10" t="e">
        <f>VLOOKUP(G71,Departments!A70:C75,3,0)</f>
        <v>#N/A</v>
      </c>
      <c r="O71" s="13" t="e">
        <f>INDEX(Departments!C70:C75,MATCH(Employees!G71,Departments!A70:A75,0))</f>
        <v>#N/A</v>
      </c>
    </row>
    <row r="72" spans="1:15" x14ac:dyDescent="0.35">
      <c r="A72" s="6" t="s">
        <v>292</v>
      </c>
      <c r="B72" s="6" t="s">
        <v>104</v>
      </c>
      <c r="C72" s="6" t="s">
        <v>122</v>
      </c>
      <c r="D72" s="8" t="str">
        <f t="shared" si="1"/>
        <v>ANITA PAUL</v>
      </c>
      <c r="E72" s="6" t="s">
        <v>57</v>
      </c>
      <c r="F72" s="6">
        <v>49</v>
      </c>
      <c r="G72" s="6" t="s">
        <v>52</v>
      </c>
      <c r="H72" s="6" t="s">
        <v>58</v>
      </c>
      <c r="I72" s="6" t="s">
        <v>293</v>
      </c>
      <c r="J72" s="6">
        <v>88225</v>
      </c>
      <c r="K72" s="6" t="s">
        <v>18</v>
      </c>
      <c r="L72" s="6" t="s">
        <v>294</v>
      </c>
      <c r="M72" s="6" t="s">
        <v>61</v>
      </c>
      <c r="N72" s="10" t="e">
        <f>VLOOKUP(G72,Departments!A71:C76,3,0)</f>
        <v>#N/A</v>
      </c>
      <c r="O72" s="13" t="e">
        <f>INDEX(Departments!C71:C76,MATCH(Employees!G72,Departments!A71:A76,0))</f>
        <v>#N/A</v>
      </c>
    </row>
    <row r="73" spans="1:15" x14ac:dyDescent="0.35">
      <c r="A73" s="7" t="s">
        <v>295</v>
      </c>
      <c r="B73" s="7" t="s">
        <v>85</v>
      </c>
      <c r="C73" s="7" t="s">
        <v>122</v>
      </c>
      <c r="D73" s="8" t="str">
        <f t="shared" si="1"/>
        <v>RAHUL PAUL</v>
      </c>
      <c r="E73" s="7" t="s">
        <v>57</v>
      </c>
      <c r="F73" s="7">
        <v>22</v>
      </c>
      <c r="G73" s="7" t="s">
        <v>52</v>
      </c>
      <c r="H73" s="7" t="s">
        <v>140</v>
      </c>
      <c r="I73" s="7" t="s">
        <v>296</v>
      </c>
      <c r="J73" s="7">
        <v>64891</v>
      </c>
      <c r="K73" s="7" t="s">
        <v>28</v>
      </c>
      <c r="L73" s="7" t="s">
        <v>297</v>
      </c>
      <c r="M73" s="7" t="s">
        <v>61</v>
      </c>
      <c r="N73" s="10" t="e">
        <f>VLOOKUP(G73,Departments!A72:C77,3,0)</f>
        <v>#N/A</v>
      </c>
      <c r="O73" s="13" t="e">
        <f>INDEX(Departments!C72:C77,MATCH(Employees!G73,Departments!A72:A77,0))</f>
        <v>#N/A</v>
      </c>
    </row>
    <row r="74" spans="1:15" x14ac:dyDescent="0.35">
      <c r="A74" s="6" t="s">
        <v>298</v>
      </c>
      <c r="B74" s="6" t="s">
        <v>80</v>
      </c>
      <c r="C74" s="6" t="s">
        <v>81</v>
      </c>
      <c r="D74" s="8" t="str">
        <f t="shared" si="1"/>
        <v>JANE GHOSH</v>
      </c>
      <c r="E74" s="6" t="s">
        <v>64</v>
      </c>
      <c r="F74" s="6">
        <v>48</v>
      </c>
      <c r="G74" s="6" t="s">
        <v>50</v>
      </c>
      <c r="H74" s="6" t="s">
        <v>70</v>
      </c>
      <c r="I74" s="6" t="s">
        <v>299</v>
      </c>
      <c r="J74" s="6">
        <v>72035</v>
      </c>
      <c r="K74" s="6" t="s">
        <v>30</v>
      </c>
      <c r="L74" s="6" t="s">
        <v>300</v>
      </c>
      <c r="M74" s="6" t="s">
        <v>61</v>
      </c>
      <c r="N74" s="10" t="e">
        <f>VLOOKUP(G74,Departments!A73:C78,3,0)</f>
        <v>#N/A</v>
      </c>
      <c r="O74" s="13" t="e">
        <f>INDEX(Departments!C73:C78,MATCH(Employees!G74,Departments!A73:A78,0))</f>
        <v>#N/A</v>
      </c>
    </row>
    <row r="75" spans="1:15" x14ac:dyDescent="0.35">
      <c r="A75" s="7" t="s">
        <v>301</v>
      </c>
      <c r="B75" s="7" t="s">
        <v>55</v>
      </c>
      <c r="C75" s="7" t="s">
        <v>162</v>
      </c>
      <c r="D75" s="8" t="str">
        <f t="shared" si="1"/>
        <v>AMIT DAS</v>
      </c>
      <c r="E75" s="7" t="s">
        <v>64</v>
      </c>
      <c r="F75" s="7">
        <v>30</v>
      </c>
      <c r="G75" s="7" t="s">
        <v>49</v>
      </c>
      <c r="H75" s="7" t="s">
        <v>58</v>
      </c>
      <c r="I75" s="7" t="s">
        <v>302</v>
      </c>
      <c r="J75" s="7">
        <v>50545</v>
      </c>
      <c r="K75" s="7" t="s">
        <v>37</v>
      </c>
      <c r="L75" s="7" t="s">
        <v>303</v>
      </c>
      <c r="M75" s="7" t="s">
        <v>61</v>
      </c>
      <c r="N75" s="10" t="e">
        <f>VLOOKUP(G75,Departments!A74:C79,3,0)</f>
        <v>#N/A</v>
      </c>
      <c r="O75" s="13" t="e">
        <f>INDEX(Departments!C74:C79,MATCH(Employees!G75,Departments!A74:A79,0))</f>
        <v>#N/A</v>
      </c>
    </row>
    <row r="76" spans="1:15" x14ac:dyDescent="0.35">
      <c r="A76" s="6" t="s">
        <v>304</v>
      </c>
      <c r="B76" s="6" t="s">
        <v>175</v>
      </c>
      <c r="C76" s="6" t="s">
        <v>63</v>
      </c>
      <c r="D76" s="8" t="str">
        <f t="shared" si="1"/>
        <v>NEHA ROY</v>
      </c>
      <c r="E76" s="6" t="s">
        <v>64</v>
      </c>
      <c r="F76" s="6">
        <v>36</v>
      </c>
      <c r="G76" s="6" t="s">
        <v>49</v>
      </c>
      <c r="H76" s="6" t="s">
        <v>70</v>
      </c>
      <c r="I76" s="6" t="s">
        <v>305</v>
      </c>
      <c r="J76" s="6">
        <v>79385</v>
      </c>
      <c r="K76" s="6" t="s">
        <v>18</v>
      </c>
      <c r="L76" s="6" t="s">
        <v>306</v>
      </c>
      <c r="M76" s="6" t="s">
        <v>61</v>
      </c>
      <c r="N76" s="10" t="e">
        <f>VLOOKUP(G76,Departments!A75:C80,3,0)</f>
        <v>#N/A</v>
      </c>
      <c r="O76" s="13" t="e">
        <f>INDEX(Departments!C75:C80,MATCH(Employees!G76,Departments!A75:A80,0))</f>
        <v>#N/A</v>
      </c>
    </row>
    <row r="77" spans="1:15" x14ac:dyDescent="0.35">
      <c r="A77" s="7" t="s">
        <v>307</v>
      </c>
      <c r="B77" s="7" t="s">
        <v>89</v>
      </c>
      <c r="C77" s="7" t="s">
        <v>56</v>
      </c>
      <c r="D77" s="8" t="str">
        <f t="shared" si="1"/>
        <v>SARA DUTTA</v>
      </c>
      <c r="E77" s="7" t="s">
        <v>57</v>
      </c>
      <c r="F77" s="7">
        <v>52</v>
      </c>
      <c r="G77" s="7" t="s">
        <v>50</v>
      </c>
      <c r="H77" s="7" t="s">
        <v>70</v>
      </c>
      <c r="I77" s="7" t="s">
        <v>308</v>
      </c>
      <c r="J77" s="7">
        <v>48744</v>
      </c>
      <c r="K77" s="7" t="s">
        <v>28</v>
      </c>
      <c r="L77" s="7" t="s">
        <v>309</v>
      </c>
      <c r="M77" s="7" t="s">
        <v>73</v>
      </c>
      <c r="N77" s="10" t="e">
        <f>VLOOKUP(G77,Departments!A76:C81,3,0)</f>
        <v>#N/A</v>
      </c>
      <c r="O77" s="13" t="e">
        <f>INDEX(Departments!C76:C81,MATCH(Employees!G77,Departments!A76:A81,0))</f>
        <v>#N/A</v>
      </c>
    </row>
    <row r="78" spans="1:15" x14ac:dyDescent="0.35">
      <c r="A78" s="6" t="s">
        <v>310</v>
      </c>
      <c r="B78" s="6" t="s">
        <v>175</v>
      </c>
      <c r="C78" s="6" t="s">
        <v>127</v>
      </c>
      <c r="D78" s="8" t="str">
        <f t="shared" si="1"/>
        <v>NEHA SMITH</v>
      </c>
      <c r="E78" s="6" t="s">
        <v>64</v>
      </c>
      <c r="F78" s="6">
        <v>53</v>
      </c>
      <c r="G78" s="6" t="s">
        <v>51</v>
      </c>
      <c r="H78" s="6" t="s">
        <v>140</v>
      </c>
      <c r="I78" s="6" t="s">
        <v>311</v>
      </c>
      <c r="J78" s="6">
        <v>48865</v>
      </c>
      <c r="K78" s="6" t="s">
        <v>13</v>
      </c>
      <c r="L78" s="6" t="s">
        <v>312</v>
      </c>
      <c r="M78" s="6" t="s">
        <v>61</v>
      </c>
      <c r="N78" s="10" t="e">
        <f>VLOOKUP(G78,Departments!A77:C82,3,0)</f>
        <v>#N/A</v>
      </c>
      <c r="O78" s="13" t="e">
        <f>INDEX(Departments!C77:C82,MATCH(Employees!G78,Departments!A77:A82,0))</f>
        <v>#N/A</v>
      </c>
    </row>
    <row r="79" spans="1:15" x14ac:dyDescent="0.35">
      <c r="A79" s="7" t="s">
        <v>313</v>
      </c>
      <c r="B79" s="7" t="s">
        <v>85</v>
      </c>
      <c r="C79" s="7" t="s">
        <v>97</v>
      </c>
      <c r="D79" s="8" t="str">
        <f t="shared" si="1"/>
        <v>RAHUL SINGH</v>
      </c>
      <c r="E79" s="7" t="s">
        <v>57</v>
      </c>
      <c r="F79" s="7">
        <v>53</v>
      </c>
      <c r="G79" s="7" t="s">
        <v>50</v>
      </c>
      <c r="H79" s="7" t="s">
        <v>58</v>
      </c>
      <c r="I79" s="7" t="s">
        <v>314</v>
      </c>
      <c r="J79" s="7">
        <v>73437</v>
      </c>
      <c r="K79" s="7" t="s">
        <v>28</v>
      </c>
      <c r="L79" s="7" t="s">
        <v>315</v>
      </c>
      <c r="M79" s="7" t="s">
        <v>73</v>
      </c>
      <c r="N79" s="10" t="e">
        <f>VLOOKUP(G79,Departments!A78:C83,3,0)</f>
        <v>#N/A</v>
      </c>
      <c r="O79" s="13" t="e">
        <f>INDEX(Departments!C78:C83,MATCH(Employees!G79,Departments!A78:A83,0))</f>
        <v>#N/A</v>
      </c>
    </row>
    <row r="80" spans="1:15" x14ac:dyDescent="0.35">
      <c r="A80" s="6" t="s">
        <v>316</v>
      </c>
      <c r="B80" s="6" t="s">
        <v>89</v>
      </c>
      <c r="C80" s="6" t="s">
        <v>197</v>
      </c>
      <c r="D80" s="8" t="str">
        <f t="shared" si="1"/>
        <v>SARA BROWN</v>
      </c>
      <c r="E80" s="6" t="s">
        <v>57</v>
      </c>
      <c r="F80" s="6">
        <v>25</v>
      </c>
      <c r="G80" s="6" t="s">
        <v>53</v>
      </c>
      <c r="H80" s="6" t="s">
        <v>58</v>
      </c>
      <c r="I80" s="6" t="s">
        <v>317</v>
      </c>
      <c r="J80" s="6">
        <v>75232</v>
      </c>
      <c r="K80" s="6" t="s">
        <v>37</v>
      </c>
      <c r="L80" s="6" t="s">
        <v>318</v>
      </c>
      <c r="M80" s="6" t="s">
        <v>61</v>
      </c>
      <c r="N80" s="10" t="e">
        <f>VLOOKUP(G80,Departments!A79:C84,3,0)</f>
        <v>#N/A</v>
      </c>
      <c r="O80" s="13" t="e">
        <f>INDEX(Departments!C79:C84,MATCH(Employees!G80,Departments!A79:A84,0))</f>
        <v>#N/A</v>
      </c>
    </row>
    <row r="81" spans="1:15" x14ac:dyDescent="0.35">
      <c r="A81" s="7" t="s">
        <v>319</v>
      </c>
      <c r="B81" s="7" t="s">
        <v>104</v>
      </c>
      <c r="C81" s="7" t="s">
        <v>56</v>
      </c>
      <c r="D81" s="8" t="str">
        <f t="shared" si="1"/>
        <v>ANITA DUTTA</v>
      </c>
      <c r="E81" s="7" t="s">
        <v>57</v>
      </c>
      <c r="F81" s="7">
        <v>48</v>
      </c>
      <c r="G81" s="7" t="s">
        <v>52</v>
      </c>
      <c r="H81" s="7" t="s">
        <v>58</v>
      </c>
      <c r="I81" s="7" t="s">
        <v>320</v>
      </c>
      <c r="J81" s="7">
        <v>53034</v>
      </c>
      <c r="K81" s="7" t="s">
        <v>28</v>
      </c>
      <c r="L81" s="7" t="s">
        <v>321</v>
      </c>
      <c r="M81" s="7" t="s">
        <v>61</v>
      </c>
      <c r="N81" s="10" t="e">
        <f>VLOOKUP(G81,Departments!A80:C85,3,0)</f>
        <v>#N/A</v>
      </c>
      <c r="O81" s="13" t="e">
        <f>INDEX(Departments!C80:C85,MATCH(Employees!G81,Departments!A80:A85,0))</f>
        <v>#N/A</v>
      </c>
    </row>
    <row r="82" spans="1:15" x14ac:dyDescent="0.35">
      <c r="A82" s="6" t="s">
        <v>322</v>
      </c>
      <c r="B82" s="6" t="s">
        <v>104</v>
      </c>
      <c r="C82" s="6" t="s">
        <v>63</v>
      </c>
      <c r="D82" s="8" t="str">
        <f t="shared" si="1"/>
        <v>ANITA ROY</v>
      </c>
      <c r="E82" s="6" t="s">
        <v>64</v>
      </c>
      <c r="F82" s="6">
        <v>45</v>
      </c>
      <c r="G82" s="6" t="s">
        <v>49</v>
      </c>
      <c r="H82" s="6" t="s">
        <v>58</v>
      </c>
      <c r="I82" s="6" t="s">
        <v>323</v>
      </c>
      <c r="J82" s="6">
        <v>110168</v>
      </c>
      <c r="K82" s="6" t="s">
        <v>13</v>
      </c>
      <c r="L82" s="6" t="s">
        <v>324</v>
      </c>
      <c r="M82" s="6" t="s">
        <v>73</v>
      </c>
      <c r="N82" s="10" t="e">
        <f>VLOOKUP(G82,Departments!A81:C86,3,0)</f>
        <v>#N/A</v>
      </c>
      <c r="O82" s="13" t="e">
        <f>INDEX(Departments!C81:C86,MATCH(Employees!G82,Departments!A81:A86,0))</f>
        <v>#N/A</v>
      </c>
    </row>
    <row r="83" spans="1:15" x14ac:dyDescent="0.35">
      <c r="A83" s="7" t="s">
        <v>325</v>
      </c>
      <c r="B83" s="7" t="s">
        <v>75</v>
      </c>
      <c r="C83" s="7" t="s">
        <v>111</v>
      </c>
      <c r="D83" s="8" t="str">
        <f t="shared" si="1"/>
        <v>DAVID KHAN</v>
      </c>
      <c r="E83" s="7" t="s">
        <v>57</v>
      </c>
      <c r="F83" s="7">
        <v>51</v>
      </c>
      <c r="G83" s="7" t="s">
        <v>51</v>
      </c>
      <c r="H83" s="7" t="s">
        <v>70</v>
      </c>
      <c r="I83" s="7" t="s">
        <v>326</v>
      </c>
      <c r="J83" s="7">
        <v>107488</v>
      </c>
      <c r="K83" s="7" t="s">
        <v>18</v>
      </c>
      <c r="L83" s="7" t="s">
        <v>327</v>
      </c>
      <c r="M83" s="7" t="s">
        <v>73</v>
      </c>
      <c r="N83" s="10" t="e">
        <f>VLOOKUP(G83,Departments!A82:C87,3,0)</f>
        <v>#N/A</v>
      </c>
      <c r="O83" s="13" t="e">
        <f>INDEX(Departments!C82:C87,MATCH(Employees!G83,Departments!A82:A87,0))</f>
        <v>#N/A</v>
      </c>
    </row>
    <row r="84" spans="1:15" x14ac:dyDescent="0.35">
      <c r="A84" s="6" t="s">
        <v>328</v>
      </c>
      <c r="B84" s="6" t="s">
        <v>80</v>
      </c>
      <c r="C84" s="6" t="s">
        <v>81</v>
      </c>
      <c r="D84" s="8" t="str">
        <f t="shared" si="1"/>
        <v>JANE GHOSH</v>
      </c>
      <c r="E84" s="6" t="s">
        <v>57</v>
      </c>
      <c r="F84" s="6">
        <v>50</v>
      </c>
      <c r="G84" s="6" t="s">
        <v>52</v>
      </c>
      <c r="H84" s="6" t="s">
        <v>58</v>
      </c>
      <c r="I84" s="6" t="s">
        <v>329</v>
      </c>
      <c r="J84" s="6">
        <v>53754</v>
      </c>
      <c r="K84" s="6" t="s">
        <v>18</v>
      </c>
      <c r="L84" s="6" t="s">
        <v>330</v>
      </c>
      <c r="M84" s="6" t="s">
        <v>73</v>
      </c>
      <c r="N84" s="10" t="e">
        <f>VLOOKUP(G84,Departments!A83:C88,3,0)</f>
        <v>#N/A</v>
      </c>
      <c r="O84" s="13" t="e">
        <f>INDEX(Departments!C83:C88,MATCH(Employees!G84,Departments!A83:A88,0))</f>
        <v>#N/A</v>
      </c>
    </row>
    <row r="85" spans="1:15" x14ac:dyDescent="0.35">
      <c r="A85" s="7" t="s">
        <v>331</v>
      </c>
      <c r="B85" s="7" t="s">
        <v>126</v>
      </c>
      <c r="C85" s="7" t="s">
        <v>162</v>
      </c>
      <c r="D85" s="8" t="str">
        <f t="shared" si="1"/>
        <v>PRIYA DAS</v>
      </c>
      <c r="E85" s="7" t="s">
        <v>64</v>
      </c>
      <c r="F85" s="7">
        <v>47</v>
      </c>
      <c r="G85" s="7" t="s">
        <v>49</v>
      </c>
      <c r="H85" s="7" t="s">
        <v>70</v>
      </c>
      <c r="I85" s="7" t="s">
        <v>332</v>
      </c>
      <c r="J85" s="7">
        <v>99891</v>
      </c>
      <c r="K85" s="7" t="s">
        <v>18</v>
      </c>
      <c r="L85" s="7" t="s">
        <v>333</v>
      </c>
      <c r="M85" s="7" t="s">
        <v>73</v>
      </c>
      <c r="N85" s="10" t="e">
        <f>VLOOKUP(G85,Departments!A84:C89,3,0)</f>
        <v>#N/A</v>
      </c>
      <c r="O85" s="13" t="e">
        <f>INDEX(Departments!C84:C89,MATCH(Employees!G85,Departments!A84:A89,0))</f>
        <v>#N/A</v>
      </c>
    </row>
    <row r="86" spans="1:15" x14ac:dyDescent="0.35">
      <c r="A86" s="6" t="s">
        <v>334</v>
      </c>
      <c r="B86" s="6" t="s">
        <v>89</v>
      </c>
      <c r="C86" s="6" t="s">
        <v>122</v>
      </c>
      <c r="D86" s="8" t="str">
        <f t="shared" si="1"/>
        <v>SARA PAUL</v>
      </c>
      <c r="E86" s="6" t="s">
        <v>64</v>
      </c>
      <c r="F86" s="6">
        <v>37</v>
      </c>
      <c r="G86" s="6" t="s">
        <v>52</v>
      </c>
      <c r="H86" s="6" t="s">
        <v>65</v>
      </c>
      <c r="I86" s="6" t="s">
        <v>335</v>
      </c>
      <c r="J86" s="6">
        <v>109363</v>
      </c>
      <c r="K86" s="6" t="s">
        <v>13</v>
      </c>
      <c r="L86" s="6" t="s">
        <v>336</v>
      </c>
      <c r="M86" s="6" t="s">
        <v>73</v>
      </c>
      <c r="N86" s="10" t="e">
        <f>VLOOKUP(G86,Departments!A85:C90,3,0)</f>
        <v>#N/A</v>
      </c>
      <c r="O86" s="13" t="e">
        <f>INDEX(Departments!C85:C90,MATCH(Employees!G86,Departments!A85:A90,0))</f>
        <v>#N/A</v>
      </c>
    </row>
    <row r="87" spans="1:15" x14ac:dyDescent="0.35">
      <c r="A87" s="7" t="s">
        <v>337</v>
      </c>
      <c r="B87" s="7" t="s">
        <v>93</v>
      </c>
      <c r="C87" s="7" t="s">
        <v>111</v>
      </c>
      <c r="D87" s="8" t="str">
        <f t="shared" si="1"/>
        <v>JOHN KHAN</v>
      </c>
      <c r="E87" s="7" t="s">
        <v>64</v>
      </c>
      <c r="F87" s="7">
        <v>26</v>
      </c>
      <c r="G87" s="7" t="s">
        <v>53</v>
      </c>
      <c r="H87" s="7" t="s">
        <v>76</v>
      </c>
      <c r="I87" s="7" t="s">
        <v>176</v>
      </c>
      <c r="J87" s="7">
        <v>57248</v>
      </c>
      <c r="K87" s="7" t="s">
        <v>30</v>
      </c>
      <c r="L87" s="7" t="s">
        <v>338</v>
      </c>
      <c r="M87" s="7" t="s">
        <v>61</v>
      </c>
      <c r="N87" s="10" t="e">
        <f>VLOOKUP(G87,Departments!A86:C91,3,0)</f>
        <v>#N/A</v>
      </c>
      <c r="O87" s="13" t="e">
        <f>INDEX(Departments!C86:C91,MATCH(Employees!G87,Departments!A86:A91,0))</f>
        <v>#N/A</v>
      </c>
    </row>
    <row r="88" spans="1:15" x14ac:dyDescent="0.35">
      <c r="A88" s="6" t="s">
        <v>339</v>
      </c>
      <c r="B88" s="6" t="s">
        <v>80</v>
      </c>
      <c r="C88" s="6" t="s">
        <v>127</v>
      </c>
      <c r="D88" s="8" t="str">
        <f t="shared" si="1"/>
        <v>JANE SMITH</v>
      </c>
      <c r="E88" s="6" t="s">
        <v>57</v>
      </c>
      <c r="F88" s="6">
        <v>28</v>
      </c>
      <c r="G88" s="6" t="s">
        <v>50</v>
      </c>
      <c r="H88" s="6" t="s">
        <v>140</v>
      </c>
      <c r="I88" s="6" t="s">
        <v>340</v>
      </c>
      <c r="J88" s="6">
        <v>89625</v>
      </c>
      <c r="K88" s="6" t="s">
        <v>13</v>
      </c>
      <c r="L88" s="6" t="s">
        <v>341</v>
      </c>
      <c r="M88" s="6" t="s">
        <v>73</v>
      </c>
      <c r="N88" s="10" t="e">
        <f>VLOOKUP(G88,Departments!A87:C92,3,0)</f>
        <v>#N/A</v>
      </c>
      <c r="O88" s="13" t="e">
        <f>INDEX(Departments!C87:C92,MATCH(Employees!G88,Departments!A87:A92,0))</f>
        <v>#N/A</v>
      </c>
    </row>
    <row r="89" spans="1:15" x14ac:dyDescent="0.35">
      <c r="A89" s="7" t="s">
        <v>342</v>
      </c>
      <c r="B89" s="7" t="s">
        <v>85</v>
      </c>
      <c r="C89" s="7" t="s">
        <v>81</v>
      </c>
      <c r="D89" s="8" t="str">
        <f t="shared" si="1"/>
        <v>RAHUL GHOSH</v>
      </c>
      <c r="E89" s="7" t="s">
        <v>57</v>
      </c>
      <c r="F89" s="7">
        <v>44</v>
      </c>
      <c r="G89" s="7" t="s">
        <v>53</v>
      </c>
      <c r="H89" s="7" t="s">
        <v>58</v>
      </c>
      <c r="I89" s="7" t="s">
        <v>343</v>
      </c>
      <c r="J89" s="7">
        <v>104211</v>
      </c>
      <c r="K89" s="7" t="s">
        <v>28</v>
      </c>
      <c r="L89" s="7" t="s">
        <v>344</v>
      </c>
      <c r="M89" s="7" t="s">
        <v>73</v>
      </c>
      <c r="N89" s="10" t="e">
        <f>VLOOKUP(G89,Departments!A88:C93,3,0)</f>
        <v>#N/A</v>
      </c>
      <c r="O89" s="13" t="e">
        <f>INDEX(Departments!C88:C93,MATCH(Employees!G89,Departments!A88:A93,0))</f>
        <v>#N/A</v>
      </c>
    </row>
    <row r="90" spans="1:15" x14ac:dyDescent="0.35">
      <c r="A90" s="6" t="s">
        <v>345</v>
      </c>
      <c r="B90" s="6" t="s">
        <v>89</v>
      </c>
      <c r="C90" s="6" t="s">
        <v>122</v>
      </c>
      <c r="D90" s="8" t="str">
        <f t="shared" si="1"/>
        <v>SARA PAUL</v>
      </c>
      <c r="E90" s="6" t="s">
        <v>57</v>
      </c>
      <c r="F90" s="6">
        <v>36</v>
      </c>
      <c r="G90" s="6" t="s">
        <v>51</v>
      </c>
      <c r="H90" s="6" t="s">
        <v>70</v>
      </c>
      <c r="I90" s="6" t="s">
        <v>346</v>
      </c>
      <c r="J90" s="6">
        <v>82819</v>
      </c>
      <c r="K90" s="6" t="s">
        <v>18</v>
      </c>
      <c r="L90" s="6" t="s">
        <v>347</v>
      </c>
      <c r="M90" s="6" t="s">
        <v>73</v>
      </c>
      <c r="N90" s="10" t="e">
        <f>VLOOKUP(G90,Departments!A89:C94,3,0)</f>
        <v>#N/A</v>
      </c>
      <c r="O90" s="13" t="e">
        <f>INDEX(Departments!C89:C94,MATCH(Employees!G90,Departments!A89:A94,0))</f>
        <v>#N/A</v>
      </c>
    </row>
    <row r="91" spans="1:15" x14ac:dyDescent="0.35">
      <c r="A91" s="7" t="s">
        <v>348</v>
      </c>
      <c r="B91" s="7" t="s">
        <v>69</v>
      </c>
      <c r="C91" s="7" t="s">
        <v>122</v>
      </c>
      <c r="D91" s="8" t="str">
        <f t="shared" si="1"/>
        <v>ROHIT PAUL</v>
      </c>
      <c r="E91" s="7" t="s">
        <v>57</v>
      </c>
      <c r="F91" s="7">
        <v>54</v>
      </c>
      <c r="G91" s="7" t="s">
        <v>51</v>
      </c>
      <c r="H91" s="7" t="s">
        <v>70</v>
      </c>
      <c r="I91" s="7" t="s">
        <v>349</v>
      </c>
      <c r="J91" s="7">
        <v>105392</v>
      </c>
      <c r="K91" s="7" t="s">
        <v>37</v>
      </c>
      <c r="L91" s="7" t="s">
        <v>350</v>
      </c>
      <c r="M91" s="7" t="s">
        <v>61</v>
      </c>
      <c r="N91" s="10" t="e">
        <f>VLOOKUP(G91,Departments!A90:C95,3,0)</f>
        <v>#N/A</v>
      </c>
      <c r="O91" s="13" t="e">
        <f>INDEX(Departments!C90:C95,MATCH(Employees!G91,Departments!A90:A95,0))</f>
        <v>#N/A</v>
      </c>
    </row>
    <row r="92" spans="1:15" x14ac:dyDescent="0.35">
      <c r="A92" s="6" t="s">
        <v>351</v>
      </c>
      <c r="B92" s="6" t="s">
        <v>93</v>
      </c>
      <c r="C92" s="6" t="s">
        <v>63</v>
      </c>
      <c r="D92" s="8" t="str">
        <f t="shared" si="1"/>
        <v>JOHN ROY</v>
      </c>
      <c r="E92" s="6" t="s">
        <v>64</v>
      </c>
      <c r="F92" s="6">
        <v>49</v>
      </c>
      <c r="G92" s="6" t="s">
        <v>50</v>
      </c>
      <c r="H92" s="6" t="s">
        <v>58</v>
      </c>
      <c r="I92" s="6" t="s">
        <v>352</v>
      </c>
      <c r="J92" s="6">
        <v>52568</v>
      </c>
      <c r="K92" s="6" t="s">
        <v>18</v>
      </c>
      <c r="L92" s="6" t="s">
        <v>353</v>
      </c>
      <c r="M92" s="6" t="s">
        <v>61</v>
      </c>
      <c r="N92" s="10" t="e">
        <f>VLOOKUP(G92,Departments!A91:C96,3,0)</f>
        <v>#N/A</v>
      </c>
      <c r="O92" s="13" t="e">
        <f>INDEX(Departments!C91:C96,MATCH(Employees!G92,Departments!A91:A96,0))</f>
        <v>#N/A</v>
      </c>
    </row>
    <row r="93" spans="1:15" x14ac:dyDescent="0.35">
      <c r="A93" s="7" t="s">
        <v>354</v>
      </c>
      <c r="B93" s="7" t="s">
        <v>104</v>
      </c>
      <c r="C93" s="7" t="s">
        <v>122</v>
      </c>
      <c r="D93" s="8" t="str">
        <f t="shared" si="1"/>
        <v>ANITA PAUL</v>
      </c>
      <c r="E93" s="7" t="s">
        <v>57</v>
      </c>
      <c r="F93" s="7">
        <v>35</v>
      </c>
      <c r="G93" s="7" t="s">
        <v>51</v>
      </c>
      <c r="H93" s="7" t="s">
        <v>58</v>
      </c>
      <c r="I93" s="7" t="s">
        <v>355</v>
      </c>
      <c r="J93" s="7">
        <v>119403</v>
      </c>
      <c r="K93" s="7" t="s">
        <v>13</v>
      </c>
      <c r="L93" s="7" t="s">
        <v>356</v>
      </c>
      <c r="M93" s="7" t="s">
        <v>73</v>
      </c>
      <c r="N93" s="10" t="e">
        <f>VLOOKUP(G93,Departments!A92:C97,3,0)</f>
        <v>#N/A</v>
      </c>
      <c r="O93" s="13" t="e">
        <f>INDEX(Departments!C92:C97,MATCH(Employees!G93,Departments!A92:A97,0))</f>
        <v>#N/A</v>
      </c>
    </row>
    <row r="94" spans="1:15" x14ac:dyDescent="0.35">
      <c r="A94" s="6" t="s">
        <v>357</v>
      </c>
      <c r="B94" s="6" t="s">
        <v>85</v>
      </c>
      <c r="C94" s="6" t="s">
        <v>111</v>
      </c>
      <c r="D94" s="8" t="str">
        <f t="shared" si="1"/>
        <v>RAHUL KHAN</v>
      </c>
      <c r="E94" s="6" t="s">
        <v>57</v>
      </c>
      <c r="F94" s="6">
        <v>44</v>
      </c>
      <c r="G94" s="6" t="s">
        <v>50</v>
      </c>
      <c r="H94" s="6" t="s">
        <v>70</v>
      </c>
      <c r="I94" s="6" t="s">
        <v>358</v>
      </c>
      <c r="J94" s="6">
        <v>54883</v>
      </c>
      <c r="K94" s="6" t="s">
        <v>18</v>
      </c>
      <c r="L94" s="6" t="s">
        <v>359</v>
      </c>
      <c r="M94" s="6" t="s">
        <v>73</v>
      </c>
      <c r="N94" s="10" t="e">
        <f>VLOOKUP(G94,Departments!A93:C98,3,0)</f>
        <v>#N/A</v>
      </c>
      <c r="O94" s="13" t="e">
        <f>INDEX(Departments!C93:C98,MATCH(Employees!G94,Departments!A93:A98,0))</f>
        <v>#N/A</v>
      </c>
    </row>
    <row r="95" spans="1:15" x14ac:dyDescent="0.35">
      <c r="A95" s="7" t="s">
        <v>360</v>
      </c>
      <c r="B95" s="7" t="s">
        <v>85</v>
      </c>
      <c r="C95" s="7" t="s">
        <v>111</v>
      </c>
      <c r="D95" s="8" t="str">
        <f t="shared" si="1"/>
        <v>RAHUL KHAN</v>
      </c>
      <c r="E95" s="7" t="s">
        <v>57</v>
      </c>
      <c r="F95" s="7">
        <v>44</v>
      </c>
      <c r="G95" s="7" t="s">
        <v>49</v>
      </c>
      <c r="H95" s="7" t="s">
        <v>70</v>
      </c>
      <c r="I95" s="7" t="s">
        <v>361</v>
      </c>
      <c r="J95" s="7">
        <v>83855</v>
      </c>
      <c r="K95" s="7" t="s">
        <v>18</v>
      </c>
      <c r="L95" s="7" t="s">
        <v>362</v>
      </c>
      <c r="M95" s="7" t="s">
        <v>73</v>
      </c>
      <c r="N95" s="10" t="e">
        <f>VLOOKUP(G95,Departments!A94:C99,3,0)</f>
        <v>#N/A</v>
      </c>
      <c r="O95" s="13" t="e">
        <f>INDEX(Departments!C94:C99,MATCH(Employees!G95,Departments!A94:A99,0))</f>
        <v>#N/A</v>
      </c>
    </row>
    <row r="96" spans="1:15" x14ac:dyDescent="0.35">
      <c r="A96" s="6" t="s">
        <v>363</v>
      </c>
      <c r="B96" s="6" t="s">
        <v>126</v>
      </c>
      <c r="C96" s="6" t="s">
        <v>97</v>
      </c>
      <c r="D96" s="8" t="str">
        <f t="shared" si="1"/>
        <v>PRIYA SINGH</v>
      </c>
      <c r="E96" s="6" t="s">
        <v>64</v>
      </c>
      <c r="F96" s="6">
        <v>53</v>
      </c>
      <c r="G96" s="6" t="s">
        <v>52</v>
      </c>
      <c r="H96" s="6" t="s">
        <v>76</v>
      </c>
      <c r="I96" s="6" t="s">
        <v>364</v>
      </c>
      <c r="J96" s="6">
        <v>43725</v>
      </c>
      <c r="K96" s="6" t="s">
        <v>28</v>
      </c>
      <c r="L96" s="6" t="s">
        <v>365</v>
      </c>
      <c r="M96" s="6" t="s">
        <v>61</v>
      </c>
      <c r="N96" s="10" t="e">
        <f>VLOOKUP(G96,Departments!A95:C100,3,0)</f>
        <v>#N/A</v>
      </c>
      <c r="O96" s="13" t="e">
        <f>INDEX(Departments!C95:C100,MATCH(Employees!G96,Departments!A95:A100,0))</f>
        <v>#N/A</v>
      </c>
    </row>
    <row r="97" spans="1:15" x14ac:dyDescent="0.35">
      <c r="A97" s="7" t="s">
        <v>366</v>
      </c>
      <c r="B97" s="7" t="s">
        <v>89</v>
      </c>
      <c r="C97" s="7" t="s">
        <v>81</v>
      </c>
      <c r="D97" s="8" t="str">
        <f t="shared" si="1"/>
        <v>SARA GHOSH</v>
      </c>
      <c r="E97" s="7" t="s">
        <v>57</v>
      </c>
      <c r="F97" s="7">
        <v>24</v>
      </c>
      <c r="G97" s="7" t="s">
        <v>52</v>
      </c>
      <c r="H97" s="7" t="s">
        <v>76</v>
      </c>
      <c r="I97" s="7" t="s">
        <v>367</v>
      </c>
      <c r="J97" s="7">
        <v>104506</v>
      </c>
      <c r="K97" s="7" t="s">
        <v>28</v>
      </c>
      <c r="L97" s="7" t="s">
        <v>368</v>
      </c>
      <c r="M97" s="7" t="s">
        <v>61</v>
      </c>
      <c r="N97" s="10" t="e">
        <f>VLOOKUP(G97,Departments!A96:C101,3,0)</f>
        <v>#N/A</v>
      </c>
      <c r="O97" s="13" t="e">
        <f>INDEX(Departments!C96:C101,MATCH(Employees!G97,Departments!A96:A101,0))</f>
        <v>#N/A</v>
      </c>
    </row>
    <row r="98" spans="1:15" x14ac:dyDescent="0.35">
      <c r="A98" s="6" t="s">
        <v>369</v>
      </c>
      <c r="B98" s="6" t="s">
        <v>75</v>
      </c>
      <c r="C98" s="6" t="s">
        <v>122</v>
      </c>
      <c r="D98" s="8" t="str">
        <f t="shared" si="1"/>
        <v>DAVID PAUL</v>
      </c>
      <c r="E98" s="6" t="s">
        <v>57</v>
      </c>
      <c r="F98" s="6">
        <v>45</v>
      </c>
      <c r="G98" s="6" t="s">
        <v>51</v>
      </c>
      <c r="H98" s="6" t="s">
        <v>76</v>
      </c>
      <c r="I98" s="6" t="s">
        <v>370</v>
      </c>
      <c r="J98" s="6">
        <v>36873</v>
      </c>
      <c r="K98" s="6" t="s">
        <v>28</v>
      </c>
      <c r="L98" s="6" t="s">
        <v>371</v>
      </c>
      <c r="M98" s="6" t="s">
        <v>73</v>
      </c>
      <c r="N98" s="10" t="e">
        <f>VLOOKUP(G98,Departments!A97:C102,3,0)</f>
        <v>#N/A</v>
      </c>
      <c r="O98" s="13" t="e">
        <f>INDEX(Departments!C97:C102,MATCH(Employees!G98,Departments!A97:A102,0))</f>
        <v>#N/A</v>
      </c>
    </row>
    <row r="99" spans="1:15" x14ac:dyDescent="0.35">
      <c r="A99" s="7" t="s">
        <v>372</v>
      </c>
      <c r="B99" s="7" t="s">
        <v>55</v>
      </c>
      <c r="C99" s="7" t="s">
        <v>122</v>
      </c>
      <c r="D99" s="8" t="str">
        <f t="shared" si="1"/>
        <v>AMIT PAUL</v>
      </c>
      <c r="E99" s="7" t="s">
        <v>64</v>
      </c>
      <c r="F99" s="7">
        <v>25</v>
      </c>
      <c r="G99" s="7" t="s">
        <v>53</v>
      </c>
      <c r="H99" s="7" t="s">
        <v>76</v>
      </c>
      <c r="I99" s="7" t="s">
        <v>373</v>
      </c>
      <c r="J99" s="7">
        <v>50051</v>
      </c>
      <c r="K99" s="7" t="s">
        <v>30</v>
      </c>
      <c r="L99" s="7" t="s">
        <v>374</v>
      </c>
      <c r="M99" s="7" t="s">
        <v>61</v>
      </c>
      <c r="N99" s="10" t="e">
        <f>VLOOKUP(G99,Departments!A98:C103,3,0)</f>
        <v>#N/A</v>
      </c>
      <c r="O99" s="13" t="e">
        <f>INDEX(Departments!C98:C103,MATCH(Employees!G99,Departments!A98:A103,0))</f>
        <v>#N/A</v>
      </c>
    </row>
    <row r="100" spans="1:15" x14ac:dyDescent="0.35">
      <c r="A100" s="6" t="s">
        <v>375</v>
      </c>
      <c r="B100" s="6" t="s">
        <v>75</v>
      </c>
      <c r="C100" s="6" t="s">
        <v>111</v>
      </c>
      <c r="D100" s="8" t="str">
        <f t="shared" si="1"/>
        <v>DAVID KHAN</v>
      </c>
      <c r="E100" s="6" t="s">
        <v>64</v>
      </c>
      <c r="F100" s="6">
        <v>42</v>
      </c>
      <c r="G100" s="6" t="s">
        <v>52</v>
      </c>
      <c r="H100" s="6" t="s">
        <v>76</v>
      </c>
      <c r="I100" s="6" t="s">
        <v>376</v>
      </c>
      <c r="J100" s="6">
        <v>42571</v>
      </c>
      <c r="K100" s="6" t="s">
        <v>18</v>
      </c>
      <c r="L100" s="6" t="s">
        <v>377</v>
      </c>
      <c r="M100" s="6" t="s">
        <v>73</v>
      </c>
      <c r="N100" s="10" t="e">
        <f>VLOOKUP(G100,Departments!A99:C104,3,0)</f>
        <v>#N/A</v>
      </c>
      <c r="O100" s="13" t="e">
        <f>INDEX(Departments!C99:C104,MATCH(Employees!G100,Departments!A99:A104,0))</f>
        <v>#N/A</v>
      </c>
    </row>
    <row r="101" spans="1:15" x14ac:dyDescent="0.35">
      <c r="A101" s="7" t="s">
        <v>378</v>
      </c>
      <c r="B101" s="7" t="s">
        <v>75</v>
      </c>
      <c r="C101" s="7" t="s">
        <v>63</v>
      </c>
      <c r="D101" s="8" t="str">
        <f t="shared" si="1"/>
        <v>DAVID ROY</v>
      </c>
      <c r="E101" s="7" t="s">
        <v>64</v>
      </c>
      <c r="F101" s="7">
        <v>60</v>
      </c>
      <c r="G101" s="7" t="s">
        <v>50</v>
      </c>
      <c r="H101" s="7" t="s">
        <v>58</v>
      </c>
      <c r="I101" s="7" t="s">
        <v>379</v>
      </c>
      <c r="J101" s="7">
        <v>60616</v>
      </c>
      <c r="K101" s="7" t="s">
        <v>37</v>
      </c>
      <c r="L101" s="7" t="s">
        <v>380</v>
      </c>
      <c r="M101" s="7" t="s">
        <v>73</v>
      </c>
      <c r="N101" s="10" t="e">
        <f>VLOOKUP(G101,Departments!A100:C105,3,0)</f>
        <v>#N/A</v>
      </c>
      <c r="O101" s="13" t="e">
        <f>INDEX(Departments!C100:C105,MATCH(Employees!G101,Departments!A100:A105,0))</f>
        <v>#N/A</v>
      </c>
    </row>
    <row r="102" spans="1:15" x14ac:dyDescent="0.35">
      <c r="A102" s="6" t="s">
        <v>381</v>
      </c>
      <c r="B102" s="6" t="s">
        <v>80</v>
      </c>
      <c r="C102" s="6" t="s">
        <v>127</v>
      </c>
      <c r="D102" s="8" t="str">
        <f t="shared" si="1"/>
        <v>JANE SMITH</v>
      </c>
      <c r="E102" s="6" t="s">
        <v>64</v>
      </c>
      <c r="F102" s="6">
        <v>57</v>
      </c>
      <c r="G102" s="6" t="s">
        <v>51</v>
      </c>
      <c r="H102" s="6" t="s">
        <v>70</v>
      </c>
      <c r="I102" s="6" t="s">
        <v>382</v>
      </c>
      <c r="J102" s="6">
        <v>75929</v>
      </c>
      <c r="K102" s="6" t="s">
        <v>30</v>
      </c>
      <c r="L102" s="6" t="s">
        <v>383</v>
      </c>
      <c r="M102" s="6" t="s">
        <v>73</v>
      </c>
      <c r="N102" s="10" t="e">
        <f>VLOOKUP(G102,Departments!A101:C106,3,0)</f>
        <v>#N/A</v>
      </c>
      <c r="O102" s="13" t="e">
        <f>INDEX(Departments!C101:C106,MATCH(Employees!G102,Departments!A101:A106,0))</f>
        <v>#N/A</v>
      </c>
    </row>
    <row r="103" spans="1:15" x14ac:dyDescent="0.35">
      <c r="A103" s="7" t="s">
        <v>384</v>
      </c>
      <c r="B103" s="7" t="s">
        <v>104</v>
      </c>
      <c r="C103" s="7" t="s">
        <v>115</v>
      </c>
      <c r="D103" s="8" t="str">
        <f t="shared" si="1"/>
        <v>ANITA SEN</v>
      </c>
      <c r="E103" s="7" t="s">
        <v>64</v>
      </c>
      <c r="F103" s="7">
        <v>43</v>
      </c>
      <c r="G103" s="7" t="s">
        <v>50</v>
      </c>
      <c r="H103" s="7" t="s">
        <v>140</v>
      </c>
      <c r="I103" s="7" t="s">
        <v>385</v>
      </c>
      <c r="J103" s="7">
        <v>106165</v>
      </c>
      <c r="K103" s="7" t="s">
        <v>37</v>
      </c>
      <c r="L103" s="7" t="s">
        <v>386</v>
      </c>
      <c r="M103" s="7" t="s">
        <v>73</v>
      </c>
      <c r="N103" s="10" t="e">
        <f>VLOOKUP(G103,Departments!A102:C107,3,0)</f>
        <v>#N/A</v>
      </c>
      <c r="O103" s="13" t="e">
        <f>INDEX(Departments!C102:C107,MATCH(Employees!G103,Departments!A102:A107,0))</f>
        <v>#N/A</v>
      </c>
    </row>
    <row r="104" spans="1:15" x14ac:dyDescent="0.35">
      <c r="A104" s="6" t="s">
        <v>387</v>
      </c>
      <c r="B104" s="6" t="s">
        <v>85</v>
      </c>
      <c r="C104" s="6" t="s">
        <v>63</v>
      </c>
      <c r="D104" s="8" t="str">
        <f t="shared" si="1"/>
        <v>RAHUL ROY</v>
      </c>
      <c r="E104" s="6" t="s">
        <v>64</v>
      </c>
      <c r="F104" s="6">
        <v>23</v>
      </c>
      <c r="G104" s="6" t="s">
        <v>50</v>
      </c>
      <c r="H104" s="6" t="s">
        <v>65</v>
      </c>
      <c r="I104" s="6" t="s">
        <v>388</v>
      </c>
      <c r="J104" s="6">
        <v>44946</v>
      </c>
      <c r="K104" s="6" t="s">
        <v>13</v>
      </c>
      <c r="L104" s="6" t="s">
        <v>389</v>
      </c>
      <c r="M104" s="6" t="s">
        <v>73</v>
      </c>
      <c r="N104" s="10" t="e">
        <f>VLOOKUP(G104,Departments!A103:C108,3,0)</f>
        <v>#N/A</v>
      </c>
      <c r="O104" s="13" t="e">
        <f>INDEX(Departments!C103:C108,MATCH(Employees!G104,Departments!A103:A108,0))</f>
        <v>#N/A</v>
      </c>
    </row>
    <row r="105" spans="1:15" x14ac:dyDescent="0.35">
      <c r="A105" s="7" t="s">
        <v>390</v>
      </c>
      <c r="B105" s="7" t="s">
        <v>69</v>
      </c>
      <c r="C105" s="7" t="s">
        <v>122</v>
      </c>
      <c r="D105" s="8" t="str">
        <f t="shared" si="1"/>
        <v>ROHIT PAUL</v>
      </c>
      <c r="E105" s="7" t="s">
        <v>57</v>
      </c>
      <c r="F105" s="7">
        <v>32</v>
      </c>
      <c r="G105" s="7" t="s">
        <v>49</v>
      </c>
      <c r="H105" s="7" t="s">
        <v>65</v>
      </c>
      <c r="I105" s="7" t="s">
        <v>391</v>
      </c>
      <c r="J105" s="7">
        <v>64572</v>
      </c>
      <c r="K105" s="7" t="s">
        <v>37</v>
      </c>
      <c r="L105" s="7" t="s">
        <v>392</v>
      </c>
      <c r="M105" s="7" t="s">
        <v>61</v>
      </c>
      <c r="N105" s="10" t="e">
        <f>VLOOKUP(G105,Departments!A104:C109,3,0)</f>
        <v>#N/A</v>
      </c>
      <c r="O105" s="13" t="e">
        <f>INDEX(Departments!C104:C109,MATCH(Employees!G105,Departments!A104:A109,0))</f>
        <v>#N/A</v>
      </c>
    </row>
    <row r="106" spans="1:15" x14ac:dyDescent="0.35">
      <c r="A106" s="6" t="s">
        <v>393</v>
      </c>
      <c r="B106" s="6" t="s">
        <v>126</v>
      </c>
      <c r="C106" s="6" t="s">
        <v>56</v>
      </c>
      <c r="D106" s="8" t="str">
        <f t="shared" si="1"/>
        <v>PRIYA DUTTA</v>
      </c>
      <c r="E106" s="6" t="s">
        <v>64</v>
      </c>
      <c r="F106" s="6">
        <v>56</v>
      </c>
      <c r="G106" s="6" t="s">
        <v>49</v>
      </c>
      <c r="H106" s="6" t="s">
        <v>76</v>
      </c>
      <c r="I106" s="6" t="s">
        <v>394</v>
      </c>
      <c r="J106" s="6">
        <v>74825</v>
      </c>
      <c r="K106" s="6" t="s">
        <v>37</v>
      </c>
      <c r="L106" s="6" t="s">
        <v>395</v>
      </c>
      <c r="M106" s="6" t="s">
        <v>61</v>
      </c>
      <c r="N106" s="10" t="e">
        <f>VLOOKUP(G106,Departments!A105:C110,3,0)</f>
        <v>#N/A</v>
      </c>
      <c r="O106" s="13" t="e">
        <f>INDEX(Departments!C105:C110,MATCH(Employees!G106,Departments!A105:A110,0))</f>
        <v>#N/A</v>
      </c>
    </row>
    <row r="107" spans="1:15" x14ac:dyDescent="0.35">
      <c r="A107" s="7" t="s">
        <v>396</v>
      </c>
      <c r="B107" s="7" t="s">
        <v>175</v>
      </c>
      <c r="C107" s="7" t="s">
        <v>81</v>
      </c>
      <c r="D107" s="8" t="str">
        <f t="shared" si="1"/>
        <v>NEHA GHOSH</v>
      </c>
      <c r="E107" s="7" t="s">
        <v>64</v>
      </c>
      <c r="F107" s="7">
        <v>27</v>
      </c>
      <c r="G107" s="7" t="s">
        <v>50</v>
      </c>
      <c r="H107" s="7" t="s">
        <v>58</v>
      </c>
      <c r="I107" s="7" t="s">
        <v>397</v>
      </c>
      <c r="J107" s="7">
        <v>52495</v>
      </c>
      <c r="K107" s="7" t="s">
        <v>28</v>
      </c>
      <c r="L107" s="7" t="s">
        <v>398</v>
      </c>
      <c r="M107" s="7" t="s">
        <v>61</v>
      </c>
      <c r="N107" s="10" t="e">
        <f>VLOOKUP(G107,Departments!A106:C111,3,0)</f>
        <v>#N/A</v>
      </c>
      <c r="O107" s="13" t="e">
        <f>INDEX(Departments!C106:C111,MATCH(Employees!G107,Departments!A106:A111,0))</f>
        <v>#N/A</v>
      </c>
    </row>
    <row r="108" spans="1:15" x14ac:dyDescent="0.35">
      <c r="A108" s="6" t="s">
        <v>399</v>
      </c>
      <c r="B108" s="6" t="s">
        <v>175</v>
      </c>
      <c r="C108" s="6" t="s">
        <v>97</v>
      </c>
      <c r="D108" s="8" t="str">
        <f t="shared" si="1"/>
        <v>NEHA SINGH</v>
      </c>
      <c r="E108" s="6" t="s">
        <v>64</v>
      </c>
      <c r="F108" s="6">
        <v>27</v>
      </c>
      <c r="G108" s="6" t="s">
        <v>52</v>
      </c>
      <c r="H108" s="6" t="s">
        <v>58</v>
      </c>
      <c r="I108" s="6" t="s">
        <v>400</v>
      </c>
      <c r="J108" s="6">
        <v>90958</v>
      </c>
      <c r="K108" s="6" t="s">
        <v>30</v>
      </c>
      <c r="L108" s="6" t="s">
        <v>401</v>
      </c>
      <c r="M108" s="6" t="s">
        <v>73</v>
      </c>
      <c r="N108" s="10" t="e">
        <f>VLOOKUP(G108,Departments!A107:C112,3,0)</f>
        <v>#N/A</v>
      </c>
      <c r="O108" s="13" t="e">
        <f>INDEX(Departments!C107:C112,MATCH(Employees!G108,Departments!A107:A112,0))</f>
        <v>#N/A</v>
      </c>
    </row>
    <row r="109" spans="1:15" x14ac:dyDescent="0.35">
      <c r="A109" s="7" t="s">
        <v>402</v>
      </c>
      <c r="B109" s="7" t="s">
        <v>175</v>
      </c>
      <c r="C109" s="7" t="s">
        <v>115</v>
      </c>
      <c r="D109" s="8" t="str">
        <f t="shared" si="1"/>
        <v>NEHA SEN</v>
      </c>
      <c r="E109" s="7" t="s">
        <v>57</v>
      </c>
      <c r="F109" s="7">
        <v>58</v>
      </c>
      <c r="G109" s="7" t="s">
        <v>53</v>
      </c>
      <c r="H109" s="7" t="s">
        <v>76</v>
      </c>
      <c r="I109" s="7" t="s">
        <v>403</v>
      </c>
      <c r="J109" s="7">
        <v>51096</v>
      </c>
      <c r="K109" s="7" t="s">
        <v>30</v>
      </c>
      <c r="L109" s="7" t="s">
        <v>404</v>
      </c>
      <c r="M109" s="7" t="s">
        <v>73</v>
      </c>
      <c r="N109" s="10" t="e">
        <f>VLOOKUP(G109,Departments!A108:C113,3,0)</f>
        <v>#N/A</v>
      </c>
      <c r="O109" s="13" t="e">
        <f>INDEX(Departments!C108:C113,MATCH(Employees!G109,Departments!A108:A113,0))</f>
        <v>#N/A</v>
      </c>
    </row>
    <row r="110" spans="1:15" x14ac:dyDescent="0.35">
      <c r="A110" s="6" t="s">
        <v>405</v>
      </c>
      <c r="B110" s="6" t="s">
        <v>93</v>
      </c>
      <c r="C110" s="6" t="s">
        <v>127</v>
      </c>
      <c r="D110" s="8" t="str">
        <f t="shared" si="1"/>
        <v>JOHN SMITH</v>
      </c>
      <c r="E110" s="6" t="s">
        <v>57</v>
      </c>
      <c r="F110" s="6">
        <v>58</v>
      </c>
      <c r="G110" s="6" t="s">
        <v>50</v>
      </c>
      <c r="H110" s="6" t="s">
        <v>140</v>
      </c>
      <c r="I110" s="6" t="s">
        <v>406</v>
      </c>
      <c r="J110" s="6">
        <v>90458</v>
      </c>
      <c r="K110" s="6" t="s">
        <v>30</v>
      </c>
      <c r="L110" s="6" t="s">
        <v>407</v>
      </c>
      <c r="M110" s="6" t="s">
        <v>61</v>
      </c>
      <c r="N110" s="10" t="e">
        <f>VLOOKUP(G110,Departments!A109:C114,3,0)</f>
        <v>#N/A</v>
      </c>
      <c r="O110" s="13" t="e">
        <f>INDEX(Departments!C109:C114,MATCH(Employees!G110,Departments!A109:A114,0))</f>
        <v>#N/A</v>
      </c>
    </row>
    <row r="111" spans="1:15" x14ac:dyDescent="0.35">
      <c r="A111" s="7" t="s">
        <v>408</v>
      </c>
      <c r="B111" s="7" t="s">
        <v>175</v>
      </c>
      <c r="C111" s="7" t="s">
        <v>162</v>
      </c>
      <c r="D111" s="8" t="str">
        <f t="shared" si="1"/>
        <v>NEHA DAS</v>
      </c>
      <c r="E111" s="7" t="s">
        <v>64</v>
      </c>
      <c r="F111" s="7">
        <v>39</v>
      </c>
      <c r="G111" s="7" t="s">
        <v>52</v>
      </c>
      <c r="H111" s="7" t="s">
        <v>58</v>
      </c>
      <c r="I111" s="7" t="s">
        <v>409</v>
      </c>
      <c r="J111" s="7">
        <v>67338</v>
      </c>
      <c r="K111" s="7" t="s">
        <v>18</v>
      </c>
      <c r="L111" s="7" t="s">
        <v>410</v>
      </c>
      <c r="M111" s="7" t="s">
        <v>73</v>
      </c>
      <c r="N111" s="10" t="e">
        <f>VLOOKUP(G111,Departments!A110:C115,3,0)</f>
        <v>#N/A</v>
      </c>
      <c r="O111" s="13" t="e">
        <f>INDEX(Departments!C110:C115,MATCH(Employees!G111,Departments!A110:A115,0))</f>
        <v>#N/A</v>
      </c>
    </row>
    <row r="112" spans="1:15" x14ac:dyDescent="0.35">
      <c r="A112" s="6" t="s">
        <v>411</v>
      </c>
      <c r="B112" s="6" t="s">
        <v>55</v>
      </c>
      <c r="C112" s="6" t="s">
        <v>56</v>
      </c>
      <c r="D112" s="8" t="str">
        <f t="shared" si="1"/>
        <v>AMIT DUTTA</v>
      </c>
      <c r="E112" s="6" t="s">
        <v>57</v>
      </c>
      <c r="F112" s="6">
        <v>40</v>
      </c>
      <c r="G112" s="6" t="s">
        <v>51</v>
      </c>
      <c r="H112" s="6" t="s">
        <v>76</v>
      </c>
      <c r="I112" s="6" t="s">
        <v>412</v>
      </c>
      <c r="J112" s="6">
        <v>106100</v>
      </c>
      <c r="K112" s="6" t="s">
        <v>18</v>
      </c>
      <c r="L112" s="6" t="s">
        <v>413</v>
      </c>
      <c r="M112" s="6" t="s">
        <v>73</v>
      </c>
      <c r="N112" s="10" t="e">
        <f>VLOOKUP(G112,Departments!A111:C116,3,0)</f>
        <v>#N/A</v>
      </c>
      <c r="O112" s="13" t="e">
        <f>INDEX(Departments!C111:C116,MATCH(Employees!G112,Departments!A111:A116,0))</f>
        <v>#N/A</v>
      </c>
    </row>
    <row r="113" spans="1:15" x14ac:dyDescent="0.35">
      <c r="A113" s="7" t="s">
        <v>414</v>
      </c>
      <c r="B113" s="7" t="s">
        <v>55</v>
      </c>
      <c r="C113" s="7" t="s">
        <v>111</v>
      </c>
      <c r="D113" s="8" t="str">
        <f t="shared" si="1"/>
        <v>AMIT KHAN</v>
      </c>
      <c r="E113" s="7" t="s">
        <v>64</v>
      </c>
      <c r="F113" s="7">
        <v>45</v>
      </c>
      <c r="G113" s="7" t="s">
        <v>49</v>
      </c>
      <c r="H113" s="7" t="s">
        <v>58</v>
      </c>
      <c r="I113" s="7" t="s">
        <v>415</v>
      </c>
      <c r="J113" s="7">
        <v>62840</v>
      </c>
      <c r="K113" s="7" t="s">
        <v>13</v>
      </c>
      <c r="L113" s="7" t="s">
        <v>416</v>
      </c>
      <c r="M113" s="7" t="s">
        <v>73</v>
      </c>
      <c r="N113" s="10" t="e">
        <f>VLOOKUP(G113,Departments!A112:C117,3,0)</f>
        <v>#N/A</v>
      </c>
      <c r="O113" s="13" t="e">
        <f>INDEX(Departments!C112:C117,MATCH(Employees!G113,Departments!A112:A117,0))</f>
        <v>#N/A</v>
      </c>
    </row>
    <row r="114" spans="1:15" x14ac:dyDescent="0.35">
      <c r="A114" s="6" t="s">
        <v>417</v>
      </c>
      <c r="B114" s="6" t="s">
        <v>104</v>
      </c>
      <c r="C114" s="6" t="s">
        <v>162</v>
      </c>
      <c r="D114" s="8" t="str">
        <f t="shared" si="1"/>
        <v>ANITA DAS</v>
      </c>
      <c r="E114" s="6" t="s">
        <v>64</v>
      </c>
      <c r="F114" s="6">
        <v>48</v>
      </c>
      <c r="G114" s="6" t="s">
        <v>49</v>
      </c>
      <c r="H114" s="6" t="s">
        <v>70</v>
      </c>
      <c r="I114" s="6" t="s">
        <v>418</v>
      </c>
      <c r="J114" s="6">
        <v>69569</v>
      </c>
      <c r="K114" s="6" t="s">
        <v>18</v>
      </c>
      <c r="L114" s="6" t="s">
        <v>419</v>
      </c>
      <c r="M114" s="6" t="s">
        <v>73</v>
      </c>
      <c r="N114" s="10" t="e">
        <f>VLOOKUP(G114,Departments!A113:C118,3,0)</f>
        <v>#N/A</v>
      </c>
      <c r="O114" s="13" t="e">
        <f>INDEX(Departments!C113:C118,MATCH(Employees!G114,Departments!A113:A118,0))</f>
        <v>#N/A</v>
      </c>
    </row>
    <row r="115" spans="1:15" x14ac:dyDescent="0.35">
      <c r="A115" s="7" t="s">
        <v>420</v>
      </c>
      <c r="B115" s="7" t="s">
        <v>75</v>
      </c>
      <c r="C115" s="7" t="s">
        <v>127</v>
      </c>
      <c r="D115" s="8" t="str">
        <f t="shared" si="1"/>
        <v>DAVID SMITH</v>
      </c>
      <c r="E115" s="7" t="s">
        <v>57</v>
      </c>
      <c r="F115" s="7">
        <v>23</v>
      </c>
      <c r="G115" s="7" t="s">
        <v>52</v>
      </c>
      <c r="H115" s="7" t="s">
        <v>58</v>
      </c>
      <c r="I115" s="7" t="s">
        <v>421</v>
      </c>
      <c r="J115" s="7">
        <v>109099</v>
      </c>
      <c r="K115" s="7" t="s">
        <v>37</v>
      </c>
      <c r="L115" s="7" t="s">
        <v>422</v>
      </c>
      <c r="M115" s="7" t="s">
        <v>61</v>
      </c>
      <c r="N115" s="10" t="e">
        <f>VLOOKUP(G115,Departments!A114:C119,3,0)</f>
        <v>#N/A</v>
      </c>
      <c r="O115" s="13" t="e">
        <f>INDEX(Departments!C114:C119,MATCH(Employees!G115,Departments!A114:A119,0))</f>
        <v>#N/A</v>
      </c>
    </row>
    <row r="116" spans="1:15" x14ac:dyDescent="0.35">
      <c r="A116" s="6" t="s">
        <v>423</v>
      </c>
      <c r="B116" s="6" t="s">
        <v>89</v>
      </c>
      <c r="C116" s="6" t="s">
        <v>63</v>
      </c>
      <c r="D116" s="8" t="str">
        <f t="shared" si="1"/>
        <v>SARA ROY</v>
      </c>
      <c r="E116" s="6" t="s">
        <v>57</v>
      </c>
      <c r="F116" s="6">
        <v>30</v>
      </c>
      <c r="G116" s="6" t="s">
        <v>51</v>
      </c>
      <c r="H116" s="6" t="s">
        <v>76</v>
      </c>
      <c r="I116" s="6" t="s">
        <v>424</v>
      </c>
      <c r="J116" s="6">
        <v>74368</v>
      </c>
      <c r="K116" s="6" t="s">
        <v>13</v>
      </c>
      <c r="L116" s="6" t="s">
        <v>425</v>
      </c>
      <c r="M116" s="6" t="s">
        <v>73</v>
      </c>
      <c r="N116" s="10" t="e">
        <f>VLOOKUP(G116,Departments!A115:C120,3,0)</f>
        <v>#N/A</v>
      </c>
      <c r="O116" s="13" t="e">
        <f>INDEX(Departments!C115:C120,MATCH(Employees!G116,Departments!A115:A120,0))</f>
        <v>#N/A</v>
      </c>
    </row>
    <row r="117" spans="1:15" x14ac:dyDescent="0.35">
      <c r="A117" s="7" t="s">
        <v>426</v>
      </c>
      <c r="B117" s="7" t="s">
        <v>69</v>
      </c>
      <c r="C117" s="7" t="s">
        <v>162</v>
      </c>
      <c r="D117" s="8" t="str">
        <f t="shared" si="1"/>
        <v>ROHIT DAS</v>
      </c>
      <c r="E117" s="7" t="s">
        <v>64</v>
      </c>
      <c r="F117" s="7">
        <v>58</v>
      </c>
      <c r="G117" s="7" t="s">
        <v>53</v>
      </c>
      <c r="H117" s="7" t="s">
        <v>70</v>
      </c>
      <c r="I117" s="7" t="s">
        <v>427</v>
      </c>
      <c r="J117" s="7">
        <v>111621</v>
      </c>
      <c r="K117" s="7" t="s">
        <v>13</v>
      </c>
      <c r="L117" s="7" t="s">
        <v>428</v>
      </c>
      <c r="M117" s="7" t="s">
        <v>61</v>
      </c>
      <c r="N117" s="10" t="e">
        <f>VLOOKUP(G117,Departments!A116:C121,3,0)</f>
        <v>#N/A</v>
      </c>
      <c r="O117" s="13" t="e">
        <f>INDEX(Departments!C116:C121,MATCH(Employees!G117,Departments!A116:A121,0))</f>
        <v>#N/A</v>
      </c>
    </row>
    <row r="118" spans="1:15" x14ac:dyDescent="0.35">
      <c r="A118" s="6" t="s">
        <v>429</v>
      </c>
      <c r="B118" s="6" t="s">
        <v>175</v>
      </c>
      <c r="C118" s="6" t="s">
        <v>115</v>
      </c>
      <c r="D118" s="8" t="str">
        <f t="shared" si="1"/>
        <v>NEHA SEN</v>
      </c>
      <c r="E118" s="6" t="s">
        <v>57</v>
      </c>
      <c r="F118" s="6">
        <v>32</v>
      </c>
      <c r="G118" s="6" t="s">
        <v>50</v>
      </c>
      <c r="H118" s="6" t="s">
        <v>70</v>
      </c>
      <c r="I118" s="6" t="s">
        <v>370</v>
      </c>
      <c r="J118" s="6">
        <v>82446</v>
      </c>
      <c r="K118" s="6" t="s">
        <v>28</v>
      </c>
      <c r="L118" s="6" t="s">
        <v>430</v>
      </c>
      <c r="M118" s="6" t="s">
        <v>61</v>
      </c>
      <c r="N118" s="10" t="e">
        <f>VLOOKUP(G118,Departments!A117:C122,3,0)</f>
        <v>#N/A</v>
      </c>
      <c r="O118" s="13" t="e">
        <f>INDEX(Departments!C117:C122,MATCH(Employees!G118,Departments!A117:A122,0))</f>
        <v>#N/A</v>
      </c>
    </row>
    <row r="119" spans="1:15" x14ac:dyDescent="0.35">
      <c r="A119" s="7" t="s">
        <v>431</v>
      </c>
      <c r="B119" s="7" t="s">
        <v>175</v>
      </c>
      <c r="C119" s="7" t="s">
        <v>111</v>
      </c>
      <c r="D119" s="8" t="str">
        <f t="shared" si="1"/>
        <v>NEHA KHAN</v>
      </c>
      <c r="E119" s="7" t="s">
        <v>64</v>
      </c>
      <c r="F119" s="7">
        <v>24</v>
      </c>
      <c r="G119" s="7" t="s">
        <v>52</v>
      </c>
      <c r="H119" s="7" t="s">
        <v>58</v>
      </c>
      <c r="I119" s="7" t="s">
        <v>432</v>
      </c>
      <c r="J119" s="7">
        <v>99200</v>
      </c>
      <c r="K119" s="7" t="s">
        <v>30</v>
      </c>
      <c r="L119" s="7" t="s">
        <v>433</v>
      </c>
      <c r="M119" s="7" t="s">
        <v>73</v>
      </c>
      <c r="N119" s="10" t="e">
        <f>VLOOKUP(G119,Departments!A118:C123,3,0)</f>
        <v>#N/A</v>
      </c>
      <c r="O119" s="13" t="e">
        <f>INDEX(Departments!C118:C123,MATCH(Employees!G119,Departments!A118:A123,0))</f>
        <v>#N/A</v>
      </c>
    </row>
    <row r="120" spans="1:15" x14ac:dyDescent="0.35">
      <c r="A120" s="6" t="s">
        <v>434</v>
      </c>
      <c r="B120" s="6" t="s">
        <v>80</v>
      </c>
      <c r="C120" s="6" t="s">
        <v>127</v>
      </c>
      <c r="D120" s="8" t="str">
        <f t="shared" si="1"/>
        <v>JANE SMITH</v>
      </c>
      <c r="E120" s="6" t="s">
        <v>64</v>
      </c>
      <c r="F120" s="6">
        <v>36</v>
      </c>
      <c r="G120" s="6" t="s">
        <v>50</v>
      </c>
      <c r="H120" s="6" t="s">
        <v>65</v>
      </c>
      <c r="I120" s="6" t="s">
        <v>435</v>
      </c>
      <c r="J120" s="6">
        <v>56294</v>
      </c>
      <c r="K120" s="6" t="s">
        <v>13</v>
      </c>
      <c r="L120" s="6" t="s">
        <v>436</v>
      </c>
      <c r="M120" s="6" t="s">
        <v>73</v>
      </c>
      <c r="N120" s="10" t="e">
        <f>VLOOKUP(G120,Departments!A119:C124,3,0)</f>
        <v>#N/A</v>
      </c>
      <c r="O120" s="13" t="e">
        <f>INDEX(Departments!C119:C124,MATCH(Employees!G120,Departments!A119:A124,0))</f>
        <v>#N/A</v>
      </c>
    </row>
    <row r="121" spans="1:15" x14ac:dyDescent="0.35">
      <c r="A121" s="7" t="s">
        <v>437</v>
      </c>
      <c r="B121" s="7" t="s">
        <v>80</v>
      </c>
      <c r="C121" s="7" t="s">
        <v>197</v>
      </c>
      <c r="D121" s="8" t="str">
        <f t="shared" si="1"/>
        <v>JANE BROWN</v>
      </c>
      <c r="E121" s="7" t="s">
        <v>57</v>
      </c>
      <c r="F121" s="7">
        <v>32</v>
      </c>
      <c r="G121" s="7" t="s">
        <v>50</v>
      </c>
      <c r="H121" s="7" t="s">
        <v>76</v>
      </c>
      <c r="I121" s="7" t="s">
        <v>438</v>
      </c>
      <c r="J121" s="7">
        <v>112759</v>
      </c>
      <c r="K121" s="7" t="s">
        <v>37</v>
      </c>
      <c r="L121" s="7" t="s">
        <v>439</v>
      </c>
      <c r="M121" s="7" t="s">
        <v>73</v>
      </c>
      <c r="N121" s="10" t="e">
        <f>VLOOKUP(G121,Departments!A120:C125,3,0)</f>
        <v>#N/A</v>
      </c>
      <c r="O121" s="13" t="e">
        <f>INDEX(Departments!C120:C125,MATCH(Employees!G121,Departments!A120:A125,0))</f>
        <v>#N/A</v>
      </c>
    </row>
    <row r="122" spans="1:15" x14ac:dyDescent="0.35">
      <c r="A122" s="6" t="s">
        <v>440</v>
      </c>
      <c r="B122" s="6" t="s">
        <v>126</v>
      </c>
      <c r="C122" s="6" t="s">
        <v>81</v>
      </c>
      <c r="D122" s="8" t="str">
        <f t="shared" si="1"/>
        <v>PRIYA GHOSH</v>
      </c>
      <c r="E122" s="6" t="s">
        <v>57</v>
      </c>
      <c r="F122" s="6">
        <v>47</v>
      </c>
      <c r="G122" s="6" t="s">
        <v>51</v>
      </c>
      <c r="H122" s="6" t="s">
        <v>76</v>
      </c>
      <c r="I122" s="6" t="s">
        <v>441</v>
      </c>
      <c r="J122" s="6">
        <v>70479</v>
      </c>
      <c r="K122" s="6" t="s">
        <v>18</v>
      </c>
      <c r="L122" s="6" t="s">
        <v>442</v>
      </c>
      <c r="M122" s="6" t="s">
        <v>61</v>
      </c>
      <c r="N122" s="10" t="e">
        <f>VLOOKUP(G122,Departments!A121:C126,3,0)</f>
        <v>#N/A</v>
      </c>
      <c r="O122" s="13" t="e">
        <f>INDEX(Departments!C121:C126,MATCH(Employees!G122,Departments!A121:A126,0))</f>
        <v>#N/A</v>
      </c>
    </row>
    <row r="123" spans="1:15" x14ac:dyDescent="0.35">
      <c r="A123" s="7" t="s">
        <v>443</v>
      </c>
      <c r="B123" s="7" t="s">
        <v>80</v>
      </c>
      <c r="C123" s="7" t="s">
        <v>97</v>
      </c>
      <c r="D123" s="8" t="str">
        <f t="shared" si="1"/>
        <v>JANE SINGH</v>
      </c>
      <c r="E123" s="7" t="s">
        <v>57</v>
      </c>
      <c r="F123" s="7">
        <v>42</v>
      </c>
      <c r="G123" s="7" t="s">
        <v>49</v>
      </c>
      <c r="H123" s="7" t="s">
        <v>65</v>
      </c>
      <c r="I123" s="7" t="s">
        <v>444</v>
      </c>
      <c r="J123" s="7">
        <v>52630</v>
      </c>
      <c r="K123" s="7" t="s">
        <v>13</v>
      </c>
      <c r="L123" s="7" t="s">
        <v>445</v>
      </c>
      <c r="M123" s="7" t="s">
        <v>61</v>
      </c>
      <c r="N123" s="10" t="e">
        <f>VLOOKUP(G123,Departments!A122:C127,3,0)</f>
        <v>#N/A</v>
      </c>
      <c r="O123" s="13" t="e">
        <f>INDEX(Departments!C122:C127,MATCH(Employees!G123,Departments!A122:A127,0))</f>
        <v>#N/A</v>
      </c>
    </row>
    <row r="124" spans="1:15" x14ac:dyDescent="0.35">
      <c r="A124" s="6" t="s">
        <v>446</v>
      </c>
      <c r="B124" s="6" t="s">
        <v>80</v>
      </c>
      <c r="C124" s="6" t="s">
        <v>162</v>
      </c>
      <c r="D124" s="8" t="str">
        <f t="shared" si="1"/>
        <v>JANE DAS</v>
      </c>
      <c r="E124" s="6" t="s">
        <v>64</v>
      </c>
      <c r="F124" s="6">
        <v>27</v>
      </c>
      <c r="G124" s="6" t="s">
        <v>52</v>
      </c>
      <c r="H124" s="6" t="s">
        <v>70</v>
      </c>
      <c r="I124" s="6" t="s">
        <v>447</v>
      </c>
      <c r="J124" s="6">
        <v>78119</v>
      </c>
      <c r="K124" s="6" t="s">
        <v>13</v>
      </c>
      <c r="L124" s="6" t="s">
        <v>448</v>
      </c>
      <c r="M124" s="6" t="s">
        <v>61</v>
      </c>
      <c r="N124" s="10" t="e">
        <f>VLOOKUP(G124,Departments!A123:C128,3,0)</f>
        <v>#N/A</v>
      </c>
      <c r="O124" s="13" t="e">
        <f>INDEX(Departments!C123:C128,MATCH(Employees!G124,Departments!A123:A128,0))</f>
        <v>#N/A</v>
      </c>
    </row>
    <row r="125" spans="1:15" x14ac:dyDescent="0.35">
      <c r="A125" s="7" t="s">
        <v>449</v>
      </c>
      <c r="B125" s="7" t="s">
        <v>80</v>
      </c>
      <c r="C125" s="7" t="s">
        <v>111</v>
      </c>
      <c r="D125" s="8" t="str">
        <f t="shared" si="1"/>
        <v>JANE KHAN</v>
      </c>
      <c r="E125" s="7" t="s">
        <v>57</v>
      </c>
      <c r="F125" s="7">
        <v>41</v>
      </c>
      <c r="G125" s="7" t="s">
        <v>51</v>
      </c>
      <c r="H125" s="7" t="s">
        <v>70</v>
      </c>
      <c r="I125" s="7" t="s">
        <v>450</v>
      </c>
      <c r="J125" s="7">
        <v>77100</v>
      </c>
      <c r="K125" s="7" t="s">
        <v>30</v>
      </c>
      <c r="L125" s="7" t="s">
        <v>451</v>
      </c>
      <c r="M125" s="7" t="s">
        <v>61</v>
      </c>
      <c r="N125" s="10" t="e">
        <f>VLOOKUP(G125,Departments!A124:C129,3,0)</f>
        <v>#N/A</v>
      </c>
      <c r="O125" s="13" t="e">
        <f>INDEX(Departments!C124:C129,MATCH(Employees!G125,Departments!A124:A129,0))</f>
        <v>#N/A</v>
      </c>
    </row>
    <row r="126" spans="1:15" x14ac:dyDescent="0.35">
      <c r="A126" s="6" t="s">
        <v>452</v>
      </c>
      <c r="B126" s="6" t="s">
        <v>75</v>
      </c>
      <c r="C126" s="6" t="s">
        <v>97</v>
      </c>
      <c r="D126" s="8" t="str">
        <f t="shared" si="1"/>
        <v>DAVID SINGH</v>
      </c>
      <c r="E126" s="6" t="s">
        <v>57</v>
      </c>
      <c r="F126" s="6">
        <v>58</v>
      </c>
      <c r="G126" s="6" t="s">
        <v>52</v>
      </c>
      <c r="H126" s="6" t="s">
        <v>76</v>
      </c>
      <c r="I126" s="6" t="s">
        <v>453</v>
      </c>
      <c r="J126" s="6">
        <v>48296</v>
      </c>
      <c r="K126" s="6" t="s">
        <v>28</v>
      </c>
      <c r="L126" s="6" t="s">
        <v>454</v>
      </c>
      <c r="M126" s="6" t="s">
        <v>73</v>
      </c>
      <c r="N126" s="10" t="e">
        <f>VLOOKUP(G126,Departments!A125:C130,3,0)</f>
        <v>#N/A</v>
      </c>
      <c r="O126" s="13" t="e">
        <f>INDEX(Departments!C125:C130,MATCH(Employees!G126,Departments!A125:A130,0))</f>
        <v>#N/A</v>
      </c>
    </row>
    <row r="127" spans="1:15" x14ac:dyDescent="0.35">
      <c r="A127" s="7" t="s">
        <v>455</v>
      </c>
      <c r="B127" s="7" t="s">
        <v>89</v>
      </c>
      <c r="C127" s="7" t="s">
        <v>197</v>
      </c>
      <c r="D127" s="8" t="str">
        <f t="shared" si="1"/>
        <v>SARA BROWN</v>
      </c>
      <c r="E127" s="7" t="s">
        <v>64</v>
      </c>
      <c r="F127" s="7">
        <v>46</v>
      </c>
      <c r="G127" s="7" t="s">
        <v>50</v>
      </c>
      <c r="H127" s="7" t="s">
        <v>65</v>
      </c>
      <c r="I127" s="7" t="s">
        <v>456</v>
      </c>
      <c r="J127" s="7">
        <v>69026</v>
      </c>
      <c r="K127" s="7" t="s">
        <v>18</v>
      </c>
      <c r="L127" s="7" t="s">
        <v>457</v>
      </c>
      <c r="M127" s="7" t="s">
        <v>61</v>
      </c>
      <c r="N127" s="10" t="e">
        <f>VLOOKUP(G127,Departments!A126:C131,3,0)</f>
        <v>#N/A</v>
      </c>
      <c r="O127" s="13" t="e">
        <f>INDEX(Departments!C126:C131,MATCH(Employees!G127,Departments!A126:A131,0))</f>
        <v>#N/A</v>
      </c>
    </row>
    <row r="128" spans="1:15" x14ac:dyDescent="0.35">
      <c r="A128" s="6" t="s">
        <v>458</v>
      </c>
      <c r="B128" s="6" t="s">
        <v>93</v>
      </c>
      <c r="C128" s="6" t="s">
        <v>63</v>
      </c>
      <c r="D128" s="8" t="str">
        <f t="shared" si="1"/>
        <v>JOHN ROY</v>
      </c>
      <c r="E128" s="6" t="s">
        <v>57</v>
      </c>
      <c r="F128" s="6">
        <v>29</v>
      </c>
      <c r="G128" s="6" t="s">
        <v>51</v>
      </c>
      <c r="H128" s="6" t="s">
        <v>65</v>
      </c>
      <c r="I128" s="6" t="s">
        <v>459</v>
      </c>
      <c r="J128" s="6">
        <v>97080</v>
      </c>
      <c r="K128" s="6" t="s">
        <v>37</v>
      </c>
      <c r="L128" s="6" t="s">
        <v>460</v>
      </c>
      <c r="M128" s="6" t="s">
        <v>61</v>
      </c>
      <c r="N128" s="10" t="e">
        <f>VLOOKUP(G128,Departments!A127:C132,3,0)</f>
        <v>#N/A</v>
      </c>
      <c r="O128" s="13" t="e">
        <f>INDEX(Departments!C127:C132,MATCH(Employees!G128,Departments!A127:A132,0))</f>
        <v>#N/A</v>
      </c>
    </row>
    <row r="129" spans="1:15" x14ac:dyDescent="0.35">
      <c r="A129" s="7" t="s">
        <v>461</v>
      </c>
      <c r="B129" s="7" t="s">
        <v>104</v>
      </c>
      <c r="C129" s="7" t="s">
        <v>162</v>
      </c>
      <c r="D129" s="8" t="str">
        <f t="shared" si="1"/>
        <v>ANITA DAS</v>
      </c>
      <c r="E129" s="7" t="s">
        <v>64</v>
      </c>
      <c r="F129" s="7">
        <v>26</v>
      </c>
      <c r="G129" s="7" t="s">
        <v>51</v>
      </c>
      <c r="H129" s="7" t="s">
        <v>70</v>
      </c>
      <c r="I129" s="7" t="s">
        <v>462</v>
      </c>
      <c r="J129" s="7">
        <v>71436</v>
      </c>
      <c r="K129" s="7" t="s">
        <v>18</v>
      </c>
      <c r="L129" s="7" t="s">
        <v>463</v>
      </c>
      <c r="M129" s="7" t="s">
        <v>73</v>
      </c>
      <c r="N129" s="10" t="e">
        <f>VLOOKUP(G129,Departments!A128:C133,3,0)</f>
        <v>#N/A</v>
      </c>
      <c r="O129" s="13" t="e">
        <f>INDEX(Departments!C128:C133,MATCH(Employees!G129,Departments!A128:A133,0))</f>
        <v>#N/A</v>
      </c>
    </row>
    <row r="130" spans="1:15" x14ac:dyDescent="0.35">
      <c r="A130" s="6" t="s">
        <v>464</v>
      </c>
      <c r="B130" s="6" t="s">
        <v>126</v>
      </c>
      <c r="C130" s="6" t="s">
        <v>97</v>
      </c>
      <c r="D130" s="8" t="str">
        <f t="shared" si="1"/>
        <v>PRIYA SINGH</v>
      </c>
      <c r="E130" s="6" t="s">
        <v>64</v>
      </c>
      <c r="F130" s="6">
        <v>44</v>
      </c>
      <c r="G130" s="6" t="s">
        <v>49</v>
      </c>
      <c r="H130" s="6" t="s">
        <v>70</v>
      </c>
      <c r="I130" s="6" t="s">
        <v>465</v>
      </c>
      <c r="J130" s="6">
        <v>87790</v>
      </c>
      <c r="K130" s="6" t="s">
        <v>37</v>
      </c>
      <c r="L130" s="6" t="s">
        <v>466</v>
      </c>
      <c r="M130" s="6" t="s">
        <v>61</v>
      </c>
      <c r="N130" s="10" t="e">
        <f>VLOOKUP(G130,Departments!A129:C134,3,0)</f>
        <v>#N/A</v>
      </c>
      <c r="O130" s="13" t="e">
        <f>INDEX(Departments!C129:C134,MATCH(Employees!G130,Departments!A129:A134,0))</f>
        <v>#N/A</v>
      </c>
    </row>
    <row r="131" spans="1:15" x14ac:dyDescent="0.35">
      <c r="A131" s="7" t="s">
        <v>467</v>
      </c>
      <c r="B131" s="7" t="s">
        <v>89</v>
      </c>
      <c r="C131" s="7" t="s">
        <v>97</v>
      </c>
      <c r="D131" s="8" t="str">
        <f t="shared" ref="D131:D194" si="2">UPPER(_xlfn.CONCAT(B131," ",C131))</f>
        <v>SARA SINGH</v>
      </c>
      <c r="E131" s="7" t="s">
        <v>64</v>
      </c>
      <c r="F131" s="7">
        <v>59</v>
      </c>
      <c r="G131" s="7" t="s">
        <v>49</v>
      </c>
      <c r="H131" s="7" t="s">
        <v>140</v>
      </c>
      <c r="I131" s="7" t="s">
        <v>468</v>
      </c>
      <c r="J131" s="7">
        <v>119530</v>
      </c>
      <c r="K131" s="7" t="s">
        <v>37</v>
      </c>
      <c r="L131" s="7" t="s">
        <v>469</v>
      </c>
      <c r="M131" s="7" t="s">
        <v>61</v>
      </c>
      <c r="N131" s="10" t="e">
        <f>VLOOKUP(G131,Departments!A130:C135,3,0)</f>
        <v>#N/A</v>
      </c>
      <c r="O131" s="13" t="e">
        <f>INDEX(Departments!C130:C135,MATCH(Employees!G131,Departments!A130:A135,0))</f>
        <v>#N/A</v>
      </c>
    </row>
    <row r="132" spans="1:15" x14ac:dyDescent="0.35">
      <c r="A132" s="6" t="s">
        <v>470</v>
      </c>
      <c r="B132" s="6" t="s">
        <v>175</v>
      </c>
      <c r="C132" s="6" t="s">
        <v>56</v>
      </c>
      <c r="D132" s="8" t="str">
        <f t="shared" si="2"/>
        <v>NEHA DUTTA</v>
      </c>
      <c r="E132" s="6" t="s">
        <v>64</v>
      </c>
      <c r="F132" s="6">
        <v>37</v>
      </c>
      <c r="G132" s="6" t="s">
        <v>52</v>
      </c>
      <c r="H132" s="6" t="s">
        <v>140</v>
      </c>
      <c r="I132" s="6" t="s">
        <v>471</v>
      </c>
      <c r="J132" s="6">
        <v>100623</v>
      </c>
      <c r="K132" s="6" t="s">
        <v>18</v>
      </c>
      <c r="L132" s="6" t="s">
        <v>472</v>
      </c>
      <c r="M132" s="6" t="s">
        <v>61</v>
      </c>
      <c r="N132" s="10" t="e">
        <f>VLOOKUP(G132,Departments!A131:C136,3,0)</f>
        <v>#N/A</v>
      </c>
      <c r="O132" s="13" t="e">
        <f>INDEX(Departments!C131:C136,MATCH(Employees!G132,Departments!A131:A136,0))</f>
        <v>#N/A</v>
      </c>
    </row>
    <row r="133" spans="1:15" x14ac:dyDescent="0.35">
      <c r="A133" s="7" t="s">
        <v>473</v>
      </c>
      <c r="B133" s="7" t="s">
        <v>80</v>
      </c>
      <c r="C133" s="7" t="s">
        <v>81</v>
      </c>
      <c r="D133" s="8" t="str">
        <f t="shared" si="2"/>
        <v>JANE GHOSH</v>
      </c>
      <c r="E133" s="7" t="s">
        <v>64</v>
      </c>
      <c r="F133" s="7">
        <v>60</v>
      </c>
      <c r="G133" s="7" t="s">
        <v>52</v>
      </c>
      <c r="H133" s="7" t="s">
        <v>140</v>
      </c>
      <c r="I133" s="7" t="s">
        <v>474</v>
      </c>
      <c r="J133" s="7">
        <v>40317</v>
      </c>
      <c r="K133" s="7" t="s">
        <v>37</v>
      </c>
      <c r="L133" s="7" t="s">
        <v>475</v>
      </c>
      <c r="M133" s="7" t="s">
        <v>61</v>
      </c>
      <c r="N133" s="10" t="e">
        <f>VLOOKUP(G133,Departments!A132:C137,3,0)</f>
        <v>#N/A</v>
      </c>
      <c r="O133" s="13" t="e">
        <f>INDEX(Departments!C132:C137,MATCH(Employees!G133,Departments!A132:A137,0))</f>
        <v>#N/A</v>
      </c>
    </row>
    <row r="134" spans="1:15" x14ac:dyDescent="0.35">
      <c r="A134" s="6" t="s">
        <v>476</v>
      </c>
      <c r="B134" s="6" t="s">
        <v>104</v>
      </c>
      <c r="C134" s="6" t="s">
        <v>197</v>
      </c>
      <c r="D134" s="8" t="str">
        <f t="shared" si="2"/>
        <v>ANITA BROWN</v>
      </c>
      <c r="E134" s="6" t="s">
        <v>64</v>
      </c>
      <c r="F134" s="6">
        <v>51</v>
      </c>
      <c r="G134" s="6" t="s">
        <v>51</v>
      </c>
      <c r="H134" s="6" t="s">
        <v>140</v>
      </c>
      <c r="I134" s="6" t="s">
        <v>477</v>
      </c>
      <c r="J134" s="6">
        <v>87915</v>
      </c>
      <c r="K134" s="6" t="s">
        <v>13</v>
      </c>
      <c r="L134" s="6" t="s">
        <v>478</v>
      </c>
      <c r="M134" s="6" t="s">
        <v>61</v>
      </c>
      <c r="N134" s="10" t="e">
        <f>VLOOKUP(G134,Departments!A133:C138,3,0)</f>
        <v>#N/A</v>
      </c>
      <c r="O134" s="13" t="e">
        <f>INDEX(Departments!C133:C138,MATCH(Employees!G134,Departments!A133:A138,0))</f>
        <v>#N/A</v>
      </c>
    </row>
    <row r="135" spans="1:15" x14ac:dyDescent="0.35">
      <c r="A135" s="7" t="s">
        <v>479</v>
      </c>
      <c r="B135" s="7" t="s">
        <v>175</v>
      </c>
      <c r="C135" s="7" t="s">
        <v>56</v>
      </c>
      <c r="D135" s="8" t="str">
        <f t="shared" si="2"/>
        <v>NEHA DUTTA</v>
      </c>
      <c r="E135" s="7" t="s">
        <v>57</v>
      </c>
      <c r="F135" s="7">
        <v>49</v>
      </c>
      <c r="G135" s="7" t="s">
        <v>52</v>
      </c>
      <c r="H135" s="7" t="s">
        <v>140</v>
      </c>
      <c r="I135" s="7" t="s">
        <v>480</v>
      </c>
      <c r="J135" s="7">
        <v>102279</v>
      </c>
      <c r="K135" s="7" t="s">
        <v>13</v>
      </c>
      <c r="L135" s="7" t="s">
        <v>481</v>
      </c>
      <c r="M135" s="7" t="s">
        <v>73</v>
      </c>
      <c r="N135" s="10" t="e">
        <f>VLOOKUP(G135,Departments!A134:C139,3,0)</f>
        <v>#N/A</v>
      </c>
      <c r="O135" s="13" t="e">
        <f>INDEX(Departments!C134:C139,MATCH(Employees!G135,Departments!A134:A139,0))</f>
        <v>#N/A</v>
      </c>
    </row>
    <row r="136" spans="1:15" x14ac:dyDescent="0.35">
      <c r="A136" s="6" t="s">
        <v>482</v>
      </c>
      <c r="B136" s="6" t="s">
        <v>104</v>
      </c>
      <c r="C136" s="6" t="s">
        <v>127</v>
      </c>
      <c r="D136" s="8" t="str">
        <f t="shared" si="2"/>
        <v>ANITA SMITH</v>
      </c>
      <c r="E136" s="6" t="s">
        <v>64</v>
      </c>
      <c r="F136" s="6">
        <v>36</v>
      </c>
      <c r="G136" s="6" t="s">
        <v>52</v>
      </c>
      <c r="H136" s="6" t="s">
        <v>76</v>
      </c>
      <c r="I136" s="6" t="s">
        <v>483</v>
      </c>
      <c r="J136" s="6">
        <v>72887</v>
      </c>
      <c r="K136" s="6" t="s">
        <v>18</v>
      </c>
      <c r="L136" s="6" t="s">
        <v>484</v>
      </c>
      <c r="M136" s="6" t="s">
        <v>73</v>
      </c>
      <c r="N136" s="10" t="e">
        <f>VLOOKUP(G136,Departments!A135:C140,3,0)</f>
        <v>#N/A</v>
      </c>
      <c r="O136" s="13" t="e">
        <f>INDEX(Departments!C135:C140,MATCH(Employees!G136,Departments!A135:A140,0))</f>
        <v>#N/A</v>
      </c>
    </row>
    <row r="137" spans="1:15" x14ac:dyDescent="0.35">
      <c r="A137" s="7" t="s">
        <v>485</v>
      </c>
      <c r="B137" s="7" t="s">
        <v>75</v>
      </c>
      <c r="C137" s="7" t="s">
        <v>56</v>
      </c>
      <c r="D137" s="8" t="str">
        <f t="shared" si="2"/>
        <v>DAVID DUTTA</v>
      </c>
      <c r="E137" s="7" t="s">
        <v>57</v>
      </c>
      <c r="F137" s="7">
        <v>43</v>
      </c>
      <c r="G137" s="7" t="s">
        <v>49</v>
      </c>
      <c r="H137" s="7" t="s">
        <v>65</v>
      </c>
      <c r="I137" s="7" t="s">
        <v>486</v>
      </c>
      <c r="J137" s="7">
        <v>92793</v>
      </c>
      <c r="K137" s="7" t="s">
        <v>13</v>
      </c>
      <c r="L137" s="7" t="s">
        <v>487</v>
      </c>
      <c r="M137" s="7" t="s">
        <v>61</v>
      </c>
      <c r="N137" s="10" t="e">
        <f>VLOOKUP(G137,Departments!A136:C141,3,0)</f>
        <v>#N/A</v>
      </c>
      <c r="O137" s="13" t="e">
        <f>INDEX(Departments!C136:C141,MATCH(Employees!G137,Departments!A136:A141,0))</f>
        <v>#N/A</v>
      </c>
    </row>
    <row r="138" spans="1:15" x14ac:dyDescent="0.35">
      <c r="A138" s="6" t="s">
        <v>488</v>
      </c>
      <c r="B138" s="6" t="s">
        <v>126</v>
      </c>
      <c r="C138" s="6" t="s">
        <v>111</v>
      </c>
      <c r="D138" s="8" t="str">
        <f t="shared" si="2"/>
        <v>PRIYA KHAN</v>
      </c>
      <c r="E138" s="6" t="s">
        <v>64</v>
      </c>
      <c r="F138" s="6">
        <v>48</v>
      </c>
      <c r="G138" s="6" t="s">
        <v>53</v>
      </c>
      <c r="H138" s="6" t="s">
        <v>65</v>
      </c>
      <c r="I138" s="6" t="s">
        <v>489</v>
      </c>
      <c r="J138" s="6">
        <v>114316</v>
      </c>
      <c r="K138" s="6" t="s">
        <v>28</v>
      </c>
      <c r="L138" s="6" t="s">
        <v>490</v>
      </c>
      <c r="M138" s="6" t="s">
        <v>61</v>
      </c>
      <c r="N138" s="10" t="e">
        <f>VLOOKUP(G138,Departments!A137:C142,3,0)</f>
        <v>#N/A</v>
      </c>
      <c r="O138" s="13" t="e">
        <f>INDEX(Departments!C137:C142,MATCH(Employees!G138,Departments!A137:A142,0))</f>
        <v>#N/A</v>
      </c>
    </row>
    <row r="139" spans="1:15" x14ac:dyDescent="0.35">
      <c r="A139" s="7" t="s">
        <v>491</v>
      </c>
      <c r="B139" s="7" t="s">
        <v>75</v>
      </c>
      <c r="C139" s="7" t="s">
        <v>81</v>
      </c>
      <c r="D139" s="8" t="str">
        <f t="shared" si="2"/>
        <v>DAVID GHOSH</v>
      </c>
      <c r="E139" s="7" t="s">
        <v>64</v>
      </c>
      <c r="F139" s="7">
        <v>59</v>
      </c>
      <c r="G139" s="7" t="s">
        <v>53</v>
      </c>
      <c r="H139" s="7" t="s">
        <v>58</v>
      </c>
      <c r="I139" s="7" t="s">
        <v>492</v>
      </c>
      <c r="J139" s="7">
        <v>60835</v>
      </c>
      <c r="K139" s="7" t="s">
        <v>13</v>
      </c>
      <c r="L139" s="7" t="s">
        <v>493</v>
      </c>
      <c r="M139" s="7" t="s">
        <v>61</v>
      </c>
      <c r="N139" s="10" t="e">
        <f>VLOOKUP(G139,Departments!A138:C143,3,0)</f>
        <v>#N/A</v>
      </c>
      <c r="O139" s="13" t="e">
        <f>INDEX(Departments!C138:C143,MATCH(Employees!G139,Departments!A138:A143,0))</f>
        <v>#N/A</v>
      </c>
    </row>
    <row r="140" spans="1:15" x14ac:dyDescent="0.35">
      <c r="A140" s="6" t="s">
        <v>494</v>
      </c>
      <c r="B140" s="6" t="s">
        <v>85</v>
      </c>
      <c r="C140" s="6" t="s">
        <v>197</v>
      </c>
      <c r="D140" s="8" t="str">
        <f t="shared" si="2"/>
        <v>RAHUL BROWN</v>
      </c>
      <c r="E140" s="6" t="s">
        <v>64</v>
      </c>
      <c r="F140" s="6">
        <v>31</v>
      </c>
      <c r="G140" s="6" t="s">
        <v>52</v>
      </c>
      <c r="H140" s="6" t="s">
        <v>65</v>
      </c>
      <c r="I140" s="6" t="s">
        <v>495</v>
      </c>
      <c r="J140" s="6">
        <v>105179</v>
      </c>
      <c r="K140" s="6" t="s">
        <v>30</v>
      </c>
      <c r="L140" s="6" t="s">
        <v>496</v>
      </c>
      <c r="M140" s="6" t="s">
        <v>61</v>
      </c>
      <c r="N140" s="10" t="e">
        <f>VLOOKUP(G140,Departments!A139:C144,3,0)</f>
        <v>#N/A</v>
      </c>
      <c r="O140" s="13" t="e">
        <f>INDEX(Departments!C139:C144,MATCH(Employees!G140,Departments!A139:A144,0))</f>
        <v>#N/A</v>
      </c>
    </row>
    <row r="141" spans="1:15" x14ac:dyDescent="0.35">
      <c r="A141" s="7" t="s">
        <v>497</v>
      </c>
      <c r="B141" s="7" t="s">
        <v>126</v>
      </c>
      <c r="C141" s="7" t="s">
        <v>197</v>
      </c>
      <c r="D141" s="8" t="str">
        <f t="shared" si="2"/>
        <v>PRIYA BROWN</v>
      </c>
      <c r="E141" s="7" t="s">
        <v>57</v>
      </c>
      <c r="F141" s="7">
        <v>48</v>
      </c>
      <c r="G141" s="7" t="s">
        <v>52</v>
      </c>
      <c r="H141" s="7" t="s">
        <v>76</v>
      </c>
      <c r="I141" s="7" t="s">
        <v>498</v>
      </c>
      <c r="J141" s="7">
        <v>109704</v>
      </c>
      <c r="K141" s="7" t="s">
        <v>37</v>
      </c>
      <c r="L141" s="7" t="s">
        <v>499</v>
      </c>
      <c r="M141" s="7" t="s">
        <v>73</v>
      </c>
      <c r="N141" s="10" t="e">
        <f>VLOOKUP(G141,Departments!A140:C145,3,0)</f>
        <v>#N/A</v>
      </c>
      <c r="O141" s="13" t="e">
        <f>INDEX(Departments!C140:C145,MATCH(Employees!G141,Departments!A140:A145,0))</f>
        <v>#N/A</v>
      </c>
    </row>
    <row r="142" spans="1:15" x14ac:dyDescent="0.35">
      <c r="A142" s="6" t="s">
        <v>500</v>
      </c>
      <c r="B142" s="6" t="s">
        <v>89</v>
      </c>
      <c r="C142" s="6" t="s">
        <v>162</v>
      </c>
      <c r="D142" s="8" t="str">
        <f t="shared" si="2"/>
        <v>SARA DAS</v>
      </c>
      <c r="E142" s="6" t="s">
        <v>57</v>
      </c>
      <c r="F142" s="6">
        <v>32</v>
      </c>
      <c r="G142" s="6" t="s">
        <v>53</v>
      </c>
      <c r="H142" s="6" t="s">
        <v>70</v>
      </c>
      <c r="I142" s="6" t="s">
        <v>501</v>
      </c>
      <c r="J142" s="6">
        <v>68125</v>
      </c>
      <c r="K142" s="6" t="s">
        <v>18</v>
      </c>
      <c r="L142" s="6" t="s">
        <v>502</v>
      </c>
      <c r="M142" s="6" t="s">
        <v>61</v>
      </c>
      <c r="N142" s="10" t="e">
        <f>VLOOKUP(G142,Departments!A141:C146,3,0)</f>
        <v>#N/A</v>
      </c>
      <c r="O142" s="13" t="e">
        <f>INDEX(Departments!C141:C146,MATCH(Employees!G142,Departments!A141:A146,0))</f>
        <v>#N/A</v>
      </c>
    </row>
    <row r="143" spans="1:15" x14ac:dyDescent="0.35">
      <c r="A143" s="7" t="s">
        <v>503</v>
      </c>
      <c r="B143" s="7" t="s">
        <v>75</v>
      </c>
      <c r="C143" s="7" t="s">
        <v>111</v>
      </c>
      <c r="D143" s="8" t="str">
        <f t="shared" si="2"/>
        <v>DAVID KHAN</v>
      </c>
      <c r="E143" s="7" t="s">
        <v>57</v>
      </c>
      <c r="F143" s="7">
        <v>47</v>
      </c>
      <c r="G143" s="7" t="s">
        <v>52</v>
      </c>
      <c r="H143" s="7" t="s">
        <v>58</v>
      </c>
      <c r="I143" s="7" t="s">
        <v>504</v>
      </c>
      <c r="J143" s="7">
        <v>96812</v>
      </c>
      <c r="K143" s="7" t="s">
        <v>37</v>
      </c>
      <c r="L143" s="7" t="s">
        <v>505</v>
      </c>
      <c r="M143" s="7" t="s">
        <v>61</v>
      </c>
      <c r="N143" s="10" t="e">
        <f>VLOOKUP(G143,Departments!A142:C147,3,0)</f>
        <v>#N/A</v>
      </c>
      <c r="O143" s="13" t="e">
        <f>INDEX(Departments!C142:C147,MATCH(Employees!G143,Departments!A142:A147,0))</f>
        <v>#N/A</v>
      </c>
    </row>
    <row r="144" spans="1:15" x14ac:dyDescent="0.35">
      <c r="A144" s="6" t="s">
        <v>506</v>
      </c>
      <c r="B144" s="6" t="s">
        <v>93</v>
      </c>
      <c r="C144" s="6" t="s">
        <v>197</v>
      </c>
      <c r="D144" s="8" t="str">
        <f t="shared" si="2"/>
        <v>JOHN BROWN</v>
      </c>
      <c r="E144" s="6" t="s">
        <v>57</v>
      </c>
      <c r="F144" s="6">
        <v>47</v>
      </c>
      <c r="G144" s="6" t="s">
        <v>50</v>
      </c>
      <c r="H144" s="6" t="s">
        <v>65</v>
      </c>
      <c r="I144" s="6" t="s">
        <v>507</v>
      </c>
      <c r="J144" s="6">
        <v>116650</v>
      </c>
      <c r="K144" s="6" t="s">
        <v>28</v>
      </c>
      <c r="L144" s="6" t="s">
        <v>508</v>
      </c>
      <c r="M144" s="6" t="s">
        <v>73</v>
      </c>
      <c r="N144" s="10" t="e">
        <f>VLOOKUP(G144,Departments!A143:C148,3,0)</f>
        <v>#N/A</v>
      </c>
      <c r="O144" s="13" t="e">
        <f>INDEX(Departments!C143:C148,MATCH(Employees!G144,Departments!A143:A148,0))</f>
        <v>#N/A</v>
      </c>
    </row>
    <row r="145" spans="1:15" x14ac:dyDescent="0.35">
      <c r="A145" s="7" t="s">
        <v>509</v>
      </c>
      <c r="B145" s="7" t="s">
        <v>104</v>
      </c>
      <c r="C145" s="7" t="s">
        <v>115</v>
      </c>
      <c r="D145" s="8" t="str">
        <f t="shared" si="2"/>
        <v>ANITA SEN</v>
      </c>
      <c r="E145" s="7" t="s">
        <v>64</v>
      </c>
      <c r="F145" s="7">
        <v>28</v>
      </c>
      <c r="G145" s="7" t="s">
        <v>53</v>
      </c>
      <c r="H145" s="7" t="s">
        <v>65</v>
      </c>
      <c r="I145" s="7" t="s">
        <v>510</v>
      </c>
      <c r="J145" s="7">
        <v>86592</v>
      </c>
      <c r="K145" s="7" t="s">
        <v>37</v>
      </c>
      <c r="L145" s="7" t="s">
        <v>511</v>
      </c>
      <c r="M145" s="7" t="s">
        <v>73</v>
      </c>
      <c r="N145" s="10" t="e">
        <f>VLOOKUP(G145,Departments!A144:C149,3,0)</f>
        <v>#N/A</v>
      </c>
      <c r="O145" s="13" t="e">
        <f>INDEX(Departments!C144:C149,MATCH(Employees!G145,Departments!A144:A149,0))</f>
        <v>#N/A</v>
      </c>
    </row>
    <row r="146" spans="1:15" x14ac:dyDescent="0.35">
      <c r="A146" s="6" t="s">
        <v>512</v>
      </c>
      <c r="B146" s="6" t="s">
        <v>80</v>
      </c>
      <c r="C146" s="6" t="s">
        <v>63</v>
      </c>
      <c r="D146" s="8" t="str">
        <f t="shared" si="2"/>
        <v>JANE ROY</v>
      </c>
      <c r="E146" s="6" t="s">
        <v>64</v>
      </c>
      <c r="F146" s="6">
        <v>57</v>
      </c>
      <c r="G146" s="6" t="s">
        <v>50</v>
      </c>
      <c r="H146" s="6" t="s">
        <v>65</v>
      </c>
      <c r="I146" s="6" t="s">
        <v>513</v>
      </c>
      <c r="J146" s="6">
        <v>78320</v>
      </c>
      <c r="K146" s="6" t="s">
        <v>18</v>
      </c>
      <c r="L146" s="6" t="s">
        <v>514</v>
      </c>
      <c r="M146" s="6" t="s">
        <v>61</v>
      </c>
      <c r="N146" s="10" t="e">
        <f>VLOOKUP(G146,Departments!A145:C150,3,0)</f>
        <v>#N/A</v>
      </c>
      <c r="O146" s="13" t="e">
        <f>INDEX(Departments!C145:C150,MATCH(Employees!G146,Departments!A145:A150,0))</f>
        <v>#N/A</v>
      </c>
    </row>
    <row r="147" spans="1:15" x14ac:dyDescent="0.35">
      <c r="A147" s="7" t="s">
        <v>515</v>
      </c>
      <c r="B147" s="7" t="s">
        <v>69</v>
      </c>
      <c r="C147" s="7" t="s">
        <v>81</v>
      </c>
      <c r="D147" s="8" t="str">
        <f t="shared" si="2"/>
        <v>ROHIT GHOSH</v>
      </c>
      <c r="E147" s="7" t="s">
        <v>64</v>
      </c>
      <c r="F147" s="7">
        <v>40</v>
      </c>
      <c r="G147" s="7" t="s">
        <v>49</v>
      </c>
      <c r="H147" s="7" t="s">
        <v>58</v>
      </c>
      <c r="I147" s="7" t="s">
        <v>516</v>
      </c>
      <c r="J147" s="7">
        <v>50627</v>
      </c>
      <c r="K147" s="7" t="s">
        <v>37</v>
      </c>
      <c r="L147" s="7" t="s">
        <v>517</v>
      </c>
      <c r="M147" s="7" t="s">
        <v>73</v>
      </c>
      <c r="N147" s="10" t="e">
        <f>VLOOKUP(G147,Departments!A146:C151,3,0)</f>
        <v>#N/A</v>
      </c>
      <c r="O147" s="13" t="e">
        <f>INDEX(Departments!C146:C151,MATCH(Employees!G147,Departments!A146:A151,0))</f>
        <v>#N/A</v>
      </c>
    </row>
    <row r="148" spans="1:15" x14ac:dyDescent="0.35">
      <c r="A148" s="6" t="s">
        <v>518</v>
      </c>
      <c r="B148" s="6" t="s">
        <v>75</v>
      </c>
      <c r="C148" s="6" t="s">
        <v>127</v>
      </c>
      <c r="D148" s="8" t="str">
        <f t="shared" si="2"/>
        <v>DAVID SMITH</v>
      </c>
      <c r="E148" s="6" t="s">
        <v>64</v>
      </c>
      <c r="F148" s="6">
        <v>47</v>
      </c>
      <c r="G148" s="6" t="s">
        <v>51</v>
      </c>
      <c r="H148" s="6" t="s">
        <v>65</v>
      </c>
      <c r="I148" s="6" t="s">
        <v>519</v>
      </c>
      <c r="J148" s="6">
        <v>84212</v>
      </c>
      <c r="K148" s="6" t="s">
        <v>18</v>
      </c>
      <c r="L148" s="6" t="s">
        <v>520</v>
      </c>
      <c r="M148" s="6" t="s">
        <v>73</v>
      </c>
      <c r="N148" s="10" t="e">
        <f>VLOOKUP(G148,Departments!A147:C152,3,0)</f>
        <v>#N/A</v>
      </c>
      <c r="O148" s="13" t="e">
        <f>INDEX(Departments!C147:C152,MATCH(Employees!G148,Departments!A147:A152,0))</f>
        <v>#N/A</v>
      </c>
    </row>
    <row r="149" spans="1:15" x14ac:dyDescent="0.35">
      <c r="A149" s="7" t="s">
        <v>521</v>
      </c>
      <c r="B149" s="7" t="s">
        <v>89</v>
      </c>
      <c r="C149" s="7" t="s">
        <v>97</v>
      </c>
      <c r="D149" s="8" t="str">
        <f t="shared" si="2"/>
        <v>SARA SINGH</v>
      </c>
      <c r="E149" s="7" t="s">
        <v>57</v>
      </c>
      <c r="F149" s="7">
        <v>53</v>
      </c>
      <c r="G149" s="7" t="s">
        <v>50</v>
      </c>
      <c r="H149" s="7" t="s">
        <v>70</v>
      </c>
      <c r="I149" s="7" t="s">
        <v>522</v>
      </c>
      <c r="J149" s="7">
        <v>98718</v>
      </c>
      <c r="K149" s="7" t="s">
        <v>18</v>
      </c>
      <c r="L149" s="7" t="s">
        <v>523</v>
      </c>
      <c r="M149" s="7" t="s">
        <v>61</v>
      </c>
      <c r="N149" s="10" t="e">
        <f>VLOOKUP(G149,Departments!A148:C153,3,0)</f>
        <v>#N/A</v>
      </c>
      <c r="O149" s="13" t="e">
        <f>INDEX(Departments!C148:C153,MATCH(Employees!G149,Departments!A148:A153,0))</f>
        <v>#N/A</v>
      </c>
    </row>
    <row r="150" spans="1:15" x14ac:dyDescent="0.35">
      <c r="A150" s="6" t="s">
        <v>524</v>
      </c>
      <c r="B150" s="6" t="s">
        <v>175</v>
      </c>
      <c r="C150" s="6" t="s">
        <v>63</v>
      </c>
      <c r="D150" s="8" t="str">
        <f t="shared" si="2"/>
        <v>NEHA ROY</v>
      </c>
      <c r="E150" s="6" t="s">
        <v>64</v>
      </c>
      <c r="F150" s="6">
        <v>22</v>
      </c>
      <c r="G150" s="6" t="s">
        <v>49</v>
      </c>
      <c r="H150" s="6" t="s">
        <v>65</v>
      </c>
      <c r="I150" s="6" t="s">
        <v>225</v>
      </c>
      <c r="J150" s="6">
        <v>35307</v>
      </c>
      <c r="K150" s="6" t="s">
        <v>37</v>
      </c>
      <c r="L150" s="6" t="s">
        <v>525</v>
      </c>
      <c r="M150" s="6" t="s">
        <v>73</v>
      </c>
      <c r="N150" s="10" t="e">
        <f>VLOOKUP(G150,Departments!A149:C154,3,0)</f>
        <v>#N/A</v>
      </c>
      <c r="O150" s="13" t="e">
        <f>INDEX(Departments!C149:C154,MATCH(Employees!G150,Departments!A149:A154,0))</f>
        <v>#N/A</v>
      </c>
    </row>
    <row r="151" spans="1:15" x14ac:dyDescent="0.35">
      <c r="A151" s="7" t="s">
        <v>526</v>
      </c>
      <c r="B151" s="7" t="s">
        <v>69</v>
      </c>
      <c r="C151" s="7" t="s">
        <v>162</v>
      </c>
      <c r="D151" s="8" t="str">
        <f t="shared" si="2"/>
        <v>ROHIT DAS</v>
      </c>
      <c r="E151" s="7" t="s">
        <v>57</v>
      </c>
      <c r="F151" s="7">
        <v>54</v>
      </c>
      <c r="G151" s="7" t="s">
        <v>51</v>
      </c>
      <c r="H151" s="7" t="s">
        <v>140</v>
      </c>
      <c r="I151" s="7" t="s">
        <v>527</v>
      </c>
      <c r="J151" s="7">
        <v>92735</v>
      </c>
      <c r="K151" s="7" t="s">
        <v>13</v>
      </c>
      <c r="L151" s="7" t="s">
        <v>528</v>
      </c>
      <c r="M151" s="7" t="s">
        <v>73</v>
      </c>
      <c r="N151" s="10" t="e">
        <f>VLOOKUP(G151,Departments!A150:C155,3,0)</f>
        <v>#N/A</v>
      </c>
      <c r="O151" s="13" t="e">
        <f>INDEX(Departments!C150:C155,MATCH(Employees!G151,Departments!A150:A155,0))</f>
        <v>#N/A</v>
      </c>
    </row>
    <row r="152" spans="1:15" x14ac:dyDescent="0.35">
      <c r="A152" s="6" t="s">
        <v>529</v>
      </c>
      <c r="B152" s="6" t="s">
        <v>126</v>
      </c>
      <c r="C152" s="6" t="s">
        <v>56</v>
      </c>
      <c r="D152" s="8" t="str">
        <f t="shared" si="2"/>
        <v>PRIYA DUTTA</v>
      </c>
      <c r="E152" s="6" t="s">
        <v>64</v>
      </c>
      <c r="F152" s="6">
        <v>45</v>
      </c>
      <c r="G152" s="6" t="s">
        <v>50</v>
      </c>
      <c r="H152" s="6" t="s">
        <v>58</v>
      </c>
      <c r="I152" s="6" t="s">
        <v>530</v>
      </c>
      <c r="J152" s="6">
        <v>55679</v>
      </c>
      <c r="K152" s="6" t="s">
        <v>13</v>
      </c>
      <c r="L152" s="6" t="s">
        <v>531</v>
      </c>
      <c r="M152" s="6" t="s">
        <v>73</v>
      </c>
      <c r="N152" s="10" t="e">
        <f>VLOOKUP(G152,Departments!A151:C156,3,0)</f>
        <v>#N/A</v>
      </c>
      <c r="O152" s="13" t="e">
        <f>INDEX(Departments!C151:C156,MATCH(Employees!G152,Departments!A151:A156,0))</f>
        <v>#N/A</v>
      </c>
    </row>
    <row r="153" spans="1:15" x14ac:dyDescent="0.35">
      <c r="A153" s="7" t="s">
        <v>532</v>
      </c>
      <c r="B153" s="7" t="s">
        <v>75</v>
      </c>
      <c r="C153" s="7" t="s">
        <v>122</v>
      </c>
      <c r="D153" s="8" t="str">
        <f t="shared" si="2"/>
        <v>DAVID PAUL</v>
      </c>
      <c r="E153" s="7" t="s">
        <v>57</v>
      </c>
      <c r="F153" s="7">
        <v>25</v>
      </c>
      <c r="G153" s="7" t="s">
        <v>51</v>
      </c>
      <c r="H153" s="7" t="s">
        <v>70</v>
      </c>
      <c r="I153" s="7" t="s">
        <v>533</v>
      </c>
      <c r="J153" s="7">
        <v>94614</v>
      </c>
      <c r="K153" s="7" t="s">
        <v>18</v>
      </c>
      <c r="L153" s="7" t="s">
        <v>534</v>
      </c>
      <c r="M153" s="7" t="s">
        <v>61</v>
      </c>
      <c r="N153" s="10" t="e">
        <f>VLOOKUP(G153,Departments!A152:C157,3,0)</f>
        <v>#N/A</v>
      </c>
      <c r="O153" s="13" t="e">
        <f>INDEX(Departments!C152:C157,MATCH(Employees!G153,Departments!A152:A157,0))</f>
        <v>#N/A</v>
      </c>
    </row>
    <row r="154" spans="1:15" x14ac:dyDescent="0.35">
      <c r="A154" s="6" t="s">
        <v>535</v>
      </c>
      <c r="B154" s="6" t="s">
        <v>69</v>
      </c>
      <c r="C154" s="6" t="s">
        <v>122</v>
      </c>
      <c r="D154" s="8" t="str">
        <f t="shared" si="2"/>
        <v>ROHIT PAUL</v>
      </c>
      <c r="E154" s="6" t="s">
        <v>64</v>
      </c>
      <c r="F154" s="6">
        <v>53</v>
      </c>
      <c r="G154" s="6" t="s">
        <v>52</v>
      </c>
      <c r="H154" s="6" t="s">
        <v>76</v>
      </c>
      <c r="I154" s="6" t="s">
        <v>536</v>
      </c>
      <c r="J154" s="6">
        <v>102516</v>
      </c>
      <c r="K154" s="6" t="s">
        <v>18</v>
      </c>
      <c r="L154" s="6" t="s">
        <v>537</v>
      </c>
      <c r="M154" s="6" t="s">
        <v>61</v>
      </c>
      <c r="N154" s="10" t="e">
        <f>VLOOKUP(G154,Departments!A153:C158,3,0)</f>
        <v>#N/A</v>
      </c>
      <c r="O154" s="13" t="e">
        <f>INDEX(Departments!C153:C158,MATCH(Employees!G154,Departments!A153:A158,0))</f>
        <v>#N/A</v>
      </c>
    </row>
    <row r="155" spans="1:15" x14ac:dyDescent="0.35">
      <c r="A155" s="7" t="s">
        <v>538</v>
      </c>
      <c r="B155" s="7" t="s">
        <v>85</v>
      </c>
      <c r="C155" s="7" t="s">
        <v>122</v>
      </c>
      <c r="D155" s="8" t="str">
        <f t="shared" si="2"/>
        <v>RAHUL PAUL</v>
      </c>
      <c r="E155" s="7" t="s">
        <v>64</v>
      </c>
      <c r="F155" s="7">
        <v>48</v>
      </c>
      <c r="G155" s="7" t="s">
        <v>52</v>
      </c>
      <c r="H155" s="7" t="s">
        <v>58</v>
      </c>
      <c r="I155" s="7" t="s">
        <v>539</v>
      </c>
      <c r="J155" s="7">
        <v>47666</v>
      </c>
      <c r="K155" s="7" t="s">
        <v>37</v>
      </c>
      <c r="L155" s="7" t="s">
        <v>540</v>
      </c>
      <c r="M155" s="7" t="s">
        <v>73</v>
      </c>
      <c r="N155" s="10" t="e">
        <f>VLOOKUP(G155,Departments!A154:C159,3,0)</f>
        <v>#N/A</v>
      </c>
      <c r="O155" s="13" t="e">
        <f>INDEX(Departments!C154:C159,MATCH(Employees!G155,Departments!A154:A159,0))</f>
        <v>#N/A</v>
      </c>
    </row>
    <row r="156" spans="1:15" x14ac:dyDescent="0.35">
      <c r="A156" s="6" t="s">
        <v>541</v>
      </c>
      <c r="B156" s="6" t="s">
        <v>89</v>
      </c>
      <c r="C156" s="6" t="s">
        <v>63</v>
      </c>
      <c r="D156" s="8" t="str">
        <f t="shared" si="2"/>
        <v>SARA ROY</v>
      </c>
      <c r="E156" s="6" t="s">
        <v>57</v>
      </c>
      <c r="F156" s="6">
        <v>27</v>
      </c>
      <c r="G156" s="6" t="s">
        <v>49</v>
      </c>
      <c r="H156" s="6" t="s">
        <v>76</v>
      </c>
      <c r="I156" s="6" t="s">
        <v>542</v>
      </c>
      <c r="J156" s="6">
        <v>72710</v>
      </c>
      <c r="K156" s="6" t="s">
        <v>37</v>
      </c>
      <c r="L156" s="6" t="s">
        <v>543</v>
      </c>
      <c r="M156" s="6" t="s">
        <v>73</v>
      </c>
      <c r="N156" s="10" t="e">
        <f>VLOOKUP(G156,Departments!A155:C160,3,0)</f>
        <v>#N/A</v>
      </c>
      <c r="O156" s="13" t="e">
        <f>INDEX(Departments!C155:C160,MATCH(Employees!G156,Departments!A155:A160,0))</f>
        <v>#N/A</v>
      </c>
    </row>
    <row r="157" spans="1:15" x14ac:dyDescent="0.35">
      <c r="A157" s="7" t="s">
        <v>544</v>
      </c>
      <c r="B157" s="7" t="s">
        <v>104</v>
      </c>
      <c r="C157" s="7" t="s">
        <v>63</v>
      </c>
      <c r="D157" s="8" t="str">
        <f t="shared" si="2"/>
        <v>ANITA ROY</v>
      </c>
      <c r="E157" s="7" t="s">
        <v>64</v>
      </c>
      <c r="F157" s="7">
        <v>22</v>
      </c>
      <c r="G157" s="7" t="s">
        <v>51</v>
      </c>
      <c r="H157" s="7" t="s">
        <v>140</v>
      </c>
      <c r="I157" s="7" t="s">
        <v>545</v>
      </c>
      <c r="J157" s="7">
        <v>60944</v>
      </c>
      <c r="K157" s="7" t="s">
        <v>28</v>
      </c>
      <c r="L157" s="7" t="s">
        <v>546</v>
      </c>
      <c r="M157" s="7" t="s">
        <v>73</v>
      </c>
      <c r="N157" s="10" t="e">
        <f>VLOOKUP(G157,Departments!A156:C161,3,0)</f>
        <v>#N/A</v>
      </c>
      <c r="O157" s="13" t="e">
        <f>INDEX(Departments!C156:C161,MATCH(Employees!G157,Departments!A156:A161,0))</f>
        <v>#N/A</v>
      </c>
    </row>
    <row r="158" spans="1:15" x14ac:dyDescent="0.35">
      <c r="A158" s="6" t="s">
        <v>547</v>
      </c>
      <c r="B158" s="6" t="s">
        <v>89</v>
      </c>
      <c r="C158" s="6" t="s">
        <v>111</v>
      </c>
      <c r="D158" s="8" t="str">
        <f t="shared" si="2"/>
        <v>SARA KHAN</v>
      </c>
      <c r="E158" s="6" t="s">
        <v>57</v>
      </c>
      <c r="F158" s="6">
        <v>39</v>
      </c>
      <c r="G158" s="6" t="s">
        <v>50</v>
      </c>
      <c r="H158" s="6" t="s">
        <v>70</v>
      </c>
      <c r="I158" s="6" t="s">
        <v>548</v>
      </c>
      <c r="J158" s="6">
        <v>87181</v>
      </c>
      <c r="K158" s="6" t="s">
        <v>13</v>
      </c>
      <c r="L158" s="6" t="s">
        <v>549</v>
      </c>
      <c r="M158" s="6" t="s">
        <v>61</v>
      </c>
      <c r="N158" s="10" t="e">
        <f>VLOOKUP(G158,Departments!A157:C162,3,0)</f>
        <v>#N/A</v>
      </c>
      <c r="O158" s="13" t="e">
        <f>INDEX(Departments!C157:C162,MATCH(Employees!G158,Departments!A157:A162,0))</f>
        <v>#N/A</v>
      </c>
    </row>
    <row r="159" spans="1:15" x14ac:dyDescent="0.35">
      <c r="A159" s="7" t="s">
        <v>550</v>
      </c>
      <c r="B159" s="7" t="s">
        <v>104</v>
      </c>
      <c r="C159" s="7" t="s">
        <v>97</v>
      </c>
      <c r="D159" s="8" t="str">
        <f t="shared" si="2"/>
        <v>ANITA SINGH</v>
      </c>
      <c r="E159" s="7" t="s">
        <v>57</v>
      </c>
      <c r="F159" s="7">
        <v>42</v>
      </c>
      <c r="G159" s="7" t="s">
        <v>52</v>
      </c>
      <c r="H159" s="7" t="s">
        <v>70</v>
      </c>
      <c r="I159" s="7" t="s">
        <v>551</v>
      </c>
      <c r="J159" s="7">
        <v>65659</v>
      </c>
      <c r="K159" s="7" t="s">
        <v>28</v>
      </c>
      <c r="L159" s="7" t="s">
        <v>552</v>
      </c>
      <c r="M159" s="7" t="s">
        <v>73</v>
      </c>
      <c r="N159" s="10" t="e">
        <f>VLOOKUP(G159,Departments!A158:C163,3,0)</f>
        <v>#N/A</v>
      </c>
      <c r="O159" s="13" t="e">
        <f>INDEX(Departments!C158:C163,MATCH(Employees!G159,Departments!A158:A163,0))</f>
        <v>#N/A</v>
      </c>
    </row>
    <row r="160" spans="1:15" x14ac:dyDescent="0.35">
      <c r="A160" s="6" t="s">
        <v>553</v>
      </c>
      <c r="B160" s="6" t="s">
        <v>85</v>
      </c>
      <c r="C160" s="6" t="s">
        <v>111</v>
      </c>
      <c r="D160" s="8" t="str">
        <f t="shared" si="2"/>
        <v>RAHUL KHAN</v>
      </c>
      <c r="E160" s="6" t="s">
        <v>64</v>
      </c>
      <c r="F160" s="6">
        <v>46</v>
      </c>
      <c r="G160" s="6" t="s">
        <v>50</v>
      </c>
      <c r="H160" s="6" t="s">
        <v>70</v>
      </c>
      <c r="I160" s="6" t="s">
        <v>554</v>
      </c>
      <c r="J160" s="6">
        <v>100538</v>
      </c>
      <c r="K160" s="6" t="s">
        <v>28</v>
      </c>
      <c r="L160" s="6" t="s">
        <v>555</v>
      </c>
      <c r="M160" s="6" t="s">
        <v>61</v>
      </c>
      <c r="N160" s="10" t="e">
        <f>VLOOKUP(G160,Departments!A159:C164,3,0)</f>
        <v>#N/A</v>
      </c>
      <c r="O160" s="13" t="e">
        <f>INDEX(Departments!C159:C164,MATCH(Employees!G160,Departments!A159:A164,0))</f>
        <v>#N/A</v>
      </c>
    </row>
    <row r="161" spans="1:15" x14ac:dyDescent="0.35">
      <c r="A161" s="7" t="s">
        <v>556</v>
      </c>
      <c r="B161" s="7" t="s">
        <v>104</v>
      </c>
      <c r="C161" s="7" t="s">
        <v>197</v>
      </c>
      <c r="D161" s="8" t="str">
        <f t="shared" si="2"/>
        <v>ANITA BROWN</v>
      </c>
      <c r="E161" s="7" t="s">
        <v>64</v>
      </c>
      <c r="F161" s="7">
        <v>49</v>
      </c>
      <c r="G161" s="7" t="s">
        <v>50</v>
      </c>
      <c r="H161" s="7" t="s">
        <v>70</v>
      </c>
      <c r="I161" s="7" t="s">
        <v>557</v>
      </c>
      <c r="J161" s="7">
        <v>109819</v>
      </c>
      <c r="K161" s="7" t="s">
        <v>30</v>
      </c>
      <c r="L161" s="7" t="s">
        <v>558</v>
      </c>
      <c r="M161" s="7" t="s">
        <v>61</v>
      </c>
      <c r="N161" s="10" t="e">
        <f>VLOOKUP(G161,Departments!A160:C165,3,0)</f>
        <v>#N/A</v>
      </c>
      <c r="O161" s="13" t="e">
        <f>INDEX(Departments!C160:C165,MATCH(Employees!G161,Departments!A160:A165,0))</f>
        <v>#N/A</v>
      </c>
    </row>
    <row r="162" spans="1:15" x14ac:dyDescent="0.35">
      <c r="A162" s="6" t="s">
        <v>559</v>
      </c>
      <c r="B162" s="6" t="s">
        <v>75</v>
      </c>
      <c r="C162" s="6" t="s">
        <v>56</v>
      </c>
      <c r="D162" s="8" t="str">
        <f t="shared" si="2"/>
        <v>DAVID DUTTA</v>
      </c>
      <c r="E162" s="6" t="s">
        <v>57</v>
      </c>
      <c r="F162" s="6">
        <v>24</v>
      </c>
      <c r="G162" s="6" t="s">
        <v>52</v>
      </c>
      <c r="H162" s="6" t="s">
        <v>76</v>
      </c>
      <c r="I162" s="6" t="s">
        <v>560</v>
      </c>
      <c r="J162" s="6">
        <v>113747</v>
      </c>
      <c r="K162" s="6" t="s">
        <v>13</v>
      </c>
      <c r="L162" s="6" t="s">
        <v>561</v>
      </c>
      <c r="M162" s="6" t="s">
        <v>61</v>
      </c>
      <c r="N162" s="10" t="e">
        <f>VLOOKUP(G162,Departments!A161:C166,3,0)</f>
        <v>#N/A</v>
      </c>
      <c r="O162" s="13" t="e">
        <f>INDEX(Departments!C161:C166,MATCH(Employees!G162,Departments!A161:A166,0))</f>
        <v>#N/A</v>
      </c>
    </row>
    <row r="163" spans="1:15" x14ac:dyDescent="0.35">
      <c r="A163" s="7" t="s">
        <v>562</v>
      </c>
      <c r="B163" s="7" t="s">
        <v>126</v>
      </c>
      <c r="C163" s="7" t="s">
        <v>81</v>
      </c>
      <c r="D163" s="8" t="str">
        <f t="shared" si="2"/>
        <v>PRIYA GHOSH</v>
      </c>
      <c r="E163" s="7" t="s">
        <v>64</v>
      </c>
      <c r="F163" s="7">
        <v>51</v>
      </c>
      <c r="G163" s="7" t="s">
        <v>50</v>
      </c>
      <c r="H163" s="7" t="s">
        <v>65</v>
      </c>
      <c r="I163" s="7" t="s">
        <v>290</v>
      </c>
      <c r="J163" s="7">
        <v>103468</v>
      </c>
      <c r="K163" s="7" t="s">
        <v>28</v>
      </c>
      <c r="L163" s="7" t="s">
        <v>563</v>
      </c>
      <c r="M163" s="7" t="s">
        <v>61</v>
      </c>
      <c r="N163" s="10" t="e">
        <f>VLOOKUP(G163,Departments!A162:C167,3,0)</f>
        <v>#N/A</v>
      </c>
      <c r="O163" s="13" t="e">
        <f>INDEX(Departments!C162:C167,MATCH(Employees!G163,Departments!A162:A167,0))</f>
        <v>#N/A</v>
      </c>
    </row>
    <row r="164" spans="1:15" x14ac:dyDescent="0.35">
      <c r="A164" s="6" t="s">
        <v>564</v>
      </c>
      <c r="B164" s="6" t="s">
        <v>69</v>
      </c>
      <c r="C164" s="6" t="s">
        <v>122</v>
      </c>
      <c r="D164" s="8" t="str">
        <f t="shared" si="2"/>
        <v>ROHIT PAUL</v>
      </c>
      <c r="E164" s="6" t="s">
        <v>64</v>
      </c>
      <c r="F164" s="6">
        <v>22</v>
      </c>
      <c r="G164" s="6" t="s">
        <v>52</v>
      </c>
      <c r="H164" s="6" t="s">
        <v>70</v>
      </c>
      <c r="I164" s="6" t="s">
        <v>565</v>
      </c>
      <c r="J164" s="6">
        <v>55327</v>
      </c>
      <c r="K164" s="6" t="s">
        <v>28</v>
      </c>
      <c r="L164" s="6" t="s">
        <v>566</v>
      </c>
      <c r="M164" s="6" t="s">
        <v>73</v>
      </c>
      <c r="N164" s="10" t="e">
        <f>VLOOKUP(G164,Departments!A163:C168,3,0)</f>
        <v>#N/A</v>
      </c>
      <c r="O164" s="13" t="e">
        <f>INDEX(Departments!C163:C168,MATCH(Employees!G164,Departments!A163:A168,0))</f>
        <v>#N/A</v>
      </c>
    </row>
    <row r="165" spans="1:15" x14ac:dyDescent="0.35">
      <c r="A165" s="7" t="s">
        <v>567</v>
      </c>
      <c r="B165" s="7" t="s">
        <v>85</v>
      </c>
      <c r="C165" s="7" t="s">
        <v>81</v>
      </c>
      <c r="D165" s="8" t="str">
        <f t="shared" si="2"/>
        <v>RAHUL GHOSH</v>
      </c>
      <c r="E165" s="7" t="s">
        <v>64</v>
      </c>
      <c r="F165" s="7">
        <v>43</v>
      </c>
      <c r="G165" s="7" t="s">
        <v>52</v>
      </c>
      <c r="H165" s="7" t="s">
        <v>65</v>
      </c>
      <c r="I165" s="7" t="s">
        <v>568</v>
      </c>
      <c r="J165" s="7">
        <v>89628</v>
      </c>
      <c r="K165" s="7" t="s">
        <v>13</v>
      </c>
      <c r="L165" s="7" t="s">
        <v>569</v>
      </c>
      <c r="M165" s="7" t="s">
        <v>61</v>
      </c>
      <c r="N165" s="10" t="e">
        <f>VLOOKUP(G165,Departments!A164:C169,3,0)</f>
        <v>#N/A</v>
      </c>
      <c r="O165" s="13" t="e">
        <f>INDEX(Departments!C164:C169,MATCH(Employees!G165,Departments!A164:A169,0))</f>
        <v>#N/A</v>
      </c>
    </row>
    <row r="166" spans="1:15" x14ac:dyDescent="0.35">
      <c r="A166" s="6" t="s">
        <v>570</v>
      </c>
      <c r="B166" s="6" t="s">
        <v>80</v>
      </c>
      <c r="C166" s="6" t="s">
        <v>111</v>
      </c>
      <c r="D166" s="8" t="str">
        <f t="shared" si="2"/>
        <v>JANE KHAN</v>
      </c>
      <c r="E166" s="6" t="s">
        <v>57</v>
      </c>
      <c r="F166" s="6">
        <v>25</v>
      </c>
      <c r="G166" s="6" t="s">
        <v>50</v>
      </c>
      <c r="H166" s="6" t="s">
        <v>140</v>
      </c>
      <c r="I166" s="6" t="s">
        <v>571</v>
      </c>
      <c r="J166" s="6">
        <v>98304</v>
      </c>
      <c r="K166" s="6" t="s">
        <v>37</v>
      </c>
      <c r="L166" s="6" t="s">
        <v>572</v>
      </c>
      <c r="M166" s="6" t="s">
        <v>73</v>
      </c>
      <c r="N166" s="10" t="e">
        <f>VLOOKUP(G166,Departments!A165:C170,3,0)</f>
        <v>#N/A</v>
      </c>
      <c r="O166" s="13" t="e">
        <f>INDEX(Departments!C165:C170,MATCH(Employees!G166,Departments!A165:A170,0))</f>
        <v>#N/A</v>
      </c>
    </row>
    <row r="167" spans="1:15" x14ac:dyDescent="0.35">
      <c r="A167" s="7" t="s">
        <v>573</v>
      </c>
      <c r="B167" s="7" t="s">
        <v>89</v>
      </c>
      <c r="C167" s="7" t="s">
        <v>122</v>
      </c>
      <c r="D167" s="8" t="str">
        <f t="shared" si="2"/>
        <v>SARA PAUL</v>
      </c>
      <c r="E167" s="7" t="s">
        <v>57</v>
      </c>
      <c r="F167" s="7">
        <v>50</v>
      </c>
      <c r="G167" s="7" t="s">
        <v>49</v>
      </c>
      <c r="H167" s="7" t="s">
        <v>65</v>
      </c>
      <c r="I167" s="7" t="s">
        <v>574</v>
      </c>
      <c r="J167" s="7">
        <v>116611</v>
      </c>
      <c r="K167" s="7" t="s">
        <v>28</v>
      </c>
      <c r="L167" s="7" t="s">
        <v>575</v>
      </c>
      <c r="M167" s="7" t="s">
        <v>73</v>
      </c>
      <c r="N167" s="10" t="e">
        <f>VLOOKUP(G167,Departments!A166:C171,3,0)</f>
        <v>#N/A</v>
      </c>
      <c r="O167" s="13" t="e">
        <f>INDEX(Departments!C166:C171,MATCH(Employees!G167,Departments!A166:A171,0))</f>
        <v>#N/A</v>
      </c>
    </row>
    <row r="168" spans="1:15" x14ac:dyDescent="0.35">
      <c r="A168" s="6" t="s">
        <v>576</v>
      </c>
      <c r="B168" s="6" t="s">
        <v>75</v>
      </c>
      <c r="C168" s="6" t="s">
        <v>111</v>
      </c>
      <c r="D168" s="8" t="str">
        <f t="shared" si="2"/>
        <v>DAVID KHAN</v>
      </c>
      <c r="E168" s="6" t="s">
        <v>64</v>
      </c>
      <c r="F168" s="6">
        <v>41</v>
      </c>
      <c r="G168" s="6" t="s">
        <v>53</v>
      </c>
      <c r="H168" s="6" t="s">
        <v>58</v>
      </c>
      <c r="I168" s="6" t="s">
        <v>577</v>
      </c>
      <c r="J168" s="6">
        <v>45748</v>
      </c>
      <c r="K168" s="6" t="s">
        <v>30</v>
      </c>
      <c r="L168" s="6" t="s">
        <v>578</v>
      </c>
      <c r="M168" s="6" t="s">
        <v>73</v>
      </c>
      <c r="N168" s="10" t="e">
        <f>VLOOKUP(G168,Departments!A167:C172,3,0)</f>
        <v>#N/A</v>
      </c>
      <c r="O168" s="13" t="e">
        <f>INDEX(Departments!C167:C172,MATCH(Employees!G168,Departments!A167:A172,0))</f>
        <v>#N/A</v>
      </c>
    </row>
    <row r="169" spans="1:15" x14ac:dyDescent="0.35">
      <c r="A169" s="7" t="s">
        <v>579</v>
      </c>
      <c r="B169" s="7" t="s">
        <v>89</v>
      </c>
      <c r="C169" s="7" t="s">
        <v>115</v>
      </c>
      <c r="D169" s="8" t="str">
        <f t="shared" si="2"/>
        <v>SARA SEN</v>
      </c>
      <c r="E169" s="7" t="s">
        <v>64</v>
      </c>
      <c r="F169" s="7">
        <v>48</v>
      </c>
      <c r="G169" s="7" t="s">
        <v>53</v>
      </c>
      <c r="H169" s="7" t="s">
        <v>70</v>
      </c>
      <c r="I169" s="7" t="s">
        <v>580</v>
      </c>
      <c r="J169" s="7">
        <v>45767</v>
      </c>
      <c r="K169" s="7" t="s">
        <v>37</v>
      </c>
      <c r="L169" s="7" t="s">
        <v>581</v>
      </c>
      <c r="M169" s="7" t="s">
        <v>73</v>
      </c>
      <c r="N169" s="10" t="e">
        <f>VLOOKUP(G169,Departments!A168:C173,3,0)</f>
        <v>#N/A</v>
      </c>
      <c r="O169" s="13" t="e">
        <f>INDEX(Departments!C168:C173,MATCH(Employees!G169,Departments!A168:A173,0))</f>
        <v>#N/A</v>
      </c>
    </row>
    <row r="170" spans="1:15" x14ac:dyDescent="0.35">
      <c r="A170" s="6" t="s">
        <v>582</v>
      </c>
      <c r="B170" s="6" t="s">
        <v>93</v>
      </c>
      <c r="C170" s="6" t="s">
        <v>81</v>
      </c>
      <c r="D170" s="8" t="str">
        <f t="shared" si="2"/>
        <v>JOHN GHOSH</v>
      </c>
      <c r="E170" s="6" t="s">
        <v>64</v>
      </c>
      <c r="F170" s="6">
        <v>49</v>
      </c>
      <c r="G170" s="6" t="s">
        <v>50</v>
      </c>
      <c r="H170" s="6" t="s">
        <v>140</v>
      </c>
      <c r="I170" s="6" t="s">
        <v>583</v>
      </c>
      <c r="J170" s="6">
        <v>63927</v>
      </c>
      <c r="K170" s="6" t="s">
        <v>18</v>
      </c>
      <c r="L170" s="6" t="s">
        <v>584</v>
      </c>
      <c r="M170" s="6" t="s">
        <v>73</v>
      </c>
      <c r="N170" s="10" t="e">
        <f>VLOOKUP(G170,Departments!A169:C174,3,0)</f>
        <v>#N/A</v>
      </c>
      <c r="O170" s="13" t="e">
        <f>INDEX(Departments!C169:C174,MATCH(Employees!G170,Departments!A169:A174,0))</f>
        <v>#N/A</v>
      </c>
    </row>
    <row r="171" spans="1:15" x14ac:dyDescent="0.35">
      <c r="A171" s="7" t="s">
        <v>585</v>
      </c>
      <c r="B171" s="7" t="s">
        <v>104</v>
      </c>
      <c r="C171" s="7" t="s">
        <v>63</v>
      </c>
      <c r="D171" s="8" t="str">
        <f t="shared" si="2"/>
        <v>ANITA ROY</v>
      </c>
      <c r="E171" s="7" t="s">
        <v>64</v>
      </c>
      <c r="F171" s="7">
        <v>46</v>
      </c>
      <c r="G171" s="7" t="s">
        <v>49</v>
      </c>
      <c r="H171" s="7" t="s">
        <v>140</v>
      </c>
      <c r="I171" s="7" t="s">
        <v>586</v>
      </c>
      <c r="J171" s="7">
        <v>116657</v>
      </c>
      <c r="K171" s="7" t="s">
        <v>13</v>
      </c>
      <c r="L171" s="7" t="s">
        <v>587</v>
      </c>
      <c r="M171" s="7" t="s">
        <v>73</v>
      </c>
      <c r="N171" s="10" t="e">
        <f>VLOOKUP(G171,Departments!A170:C175,3,0)</f>
        <v>#N/A</v>
      </c>
      <c r="O171" s="13" t="e">
        <f>INDEX(Departments!C170:C175,MATCH(Employees!G171,Departments!A170:A175,0))</f>
        <v>#N/A</v>
      </c>
    </row>
    <row r="172" spans="1:15" x14ac:dyDescent="0.35">
      <c r="A172" s="6" t="s">
        <v>588</v>
      </c>
      <c r="B172" s="6" t="s">
        <v>55</v>
      </c>
      <c r="C172" s="6" t="s">
        <v>122</v>
      </c>
      <c r="D172" s="8" t="str">
        <f t="shared" si="2"/>
        <v>AMIT PAUL</v>
      </c>
      <c r="E172" s="6" t="s">
        <v>64</v>
      </c>
      <c r="F172" s="6">
        <v>49</v>
      </c>
      <c r="G172" s="6" t="s">
        <v>51</v>
      </c>
      <c r="H172" s="6" t="s">
        <v>65</v>
      </c>
      <c r="I172" s="6" t="s">
        <v>589</v>
      </c>
      <c r="J172" s="6">
        <v>35376</v>
      </c>
      <c r="K172" s="6" t="s">
        <v>18</v>
      </c>
      <c r="L172" s="6" t="s">
        <v>590</v>
      </c>
      <c r="M172" s="6" t="s">
        <v>73</v>
      </c>
      <c r="N172" s="10" t="e">
        <f>VLOOKUP(G172,Departments!A171:C176,3,0)</f>
        <v>#N/A</v>
      </c>
      <c r="O172" s="13" t="e">
        <f>INDEX(Departments!C171:C176,MATCH(Employees!G172,Departments!A171:A176,0))</f>
        <v>#N/A</v>
      </c>
    </row>
    <row r="173" spans="1:15" x14ac:dyDescent="0.35">
      <c r="A173" s="7" t="s">
        <v>591</v>
      </c>
      <c r="B173" s="7" t="s">
        <v>175</v>
      </c>
      <c r="C173" s="7" t="s">
        <v>97</v>
      </c>
      <c r="D173" s="8" t="str">
        <f t="shared" si="2"/>
        <v>NEHA SINGH</v>
      </c>
      <c r="E173" s="7" t="s">
        <v>64</v>
      </c>
      <c r="F173" s="7">
        <v>44</v>
      </c>
      <c r="G173" s="7" t="s">
        <v>51</v>
      </c>
      <c r="H173" s="7" t="s">
        <v>140</v>
      </c>
      <c r="I173" s="7" t="s">
        <v>592</v>
      </c>
      <c r="J173" s="7">
        <v>37908</v>
      </c>
      <c r="K173" s="7" t="s">
        <v>28</v>
      </c>
      <c r="L173" s="7" t="s">
        <v>593</v>
      </c>
      <c r="M173" s="7" t="s">
        <v>61</v>
      </c>
      <c r="N173" s="10" t="e">
        <f>VLOOKUP(G173,Departments!A172:C177,3,0)</f>
        <v>#N/A</v>
      </c>
      <c r="O173" s="13" t="e">
        <f>INDEX(Departments!C172:C177,MATCH(Employees!G173,Departments!A172:A177,0))</f>
        <v>#N/A</v>
      </c>
    </row>
    <row r="174" spans="1:15" x14ac:dyDescent="0.35">
      <c r="A174" s="6" t="s">
        <v>594</v>
      </c>
      <c r="B174" s="6" t="s">
        <v>93</v>
      </c>
      <c r="C174" s="6" t="s">
        <v>97</v>
      </c>
      <c r="D174" s="8" t="str">
        <f t="shared" si="2"/>
        <v>JOHN SINGH</v>
      </c>
      <c r="E174" s="6" t="s">
        <v>64</v>
      </c>
      <c r="F174" s="6">
        <v>59</v>
      </c>
      <c r="G174" s="6" t="s">
        <v>49</v>
      </c>
      <c r="H174" s="6" t="s">
        <v>58</v>
      </c>
      <c r="I174" s="6" t="s">
        <v>595</v>
      </c>
      <c r="J174" s="6">
        <v>106205</v>
      </c>
      <c r="K174" s="6" t="s">
        <v>18</v>
      </c>
      <c r="L174" s="6" t="s">
        <v>596</v>
      </c>
      <c r="M174" s="6" t="s">
        <v>61</v>
      </c>
      <c r="N174" s="10" t="e">
        <f>VLOOKUP(G174,Departments!A173:C178,3,0)</f>
        <v>#N/A</v>
      </c>
      <c r="O174" s="13" t="e">
        <f>INDEX(Departments!C173:C178,MATCH(Employees!G174,Departments!A173:A178,0))</f>
        <v>#N/A</v>
      </c>
    </row>
    <row r="175" spans="1:15" x14ac:dyDescent="0.35">
      <c r="A175" s="7" t="s">
        <v>597</v>
      </c>
      <c r="B175" s="7" t="s">
        <v>126</v>
      </c>
      <c r="C175" s="7" t="s">
        <v>162</v>
      </c>
      <c r="D175" s="8" t="str">
        <f t="shared" si="2"/>
        <v>PRIYA DAS</v>
      </c>
      <c r="E175" s="7" t="s">
        <v>57</v>
      </c>
      <c r="F175" s="7">
        <v>29</v>
      </c>
      <c r="G175" s="7" t="s">
        <v>53</v>
      </c>
      <c r="H175" s="7" t="s">
        <v>140</v>
      </c>
      <c r="I175" s="7" t="s">
        <v>598</v>
      </c>
      <c r="J175" s="7">
        <v>101504</v>
      </c>
      <c r="K175" s="7" t="s">
        <v>37</v>
      </c>
      <c r="L175" s="7" t="s">
        <v>599</v>
      </c>
      <c r="M175" s="7" t="s">
        <v>61</v>
      </c>
      <c r="N175" s="10" t="e">
        <f>VLOOKUP(G175,Departments!A174:C179,3,0)</f>
        <v>#N/A</v>
      </c>
      <c r="O175" s="13" t="e">
        <f>INDEX(Departments!C174:C179,MATCH(Employees!G175,Departments!A174:A179,0))</f>
        <v>#N/A</v>
      </c>
    </row>
    <row r="176" spans="1:15" x14ac:dyDescent="0.35">
      <c r="A176" s="6" t="s">
        <v>600</v>
      </c>
      <c r="B176" s="6" t="s">
        <v>89</v>
      </c>
      <c r="C176" s="6" t="s">
        <v>97</v>
      </c>
      <c r="D176" s="8" t="str">
        <f t="shared" si="2"/>
        <v>SARA SINGH</v>
      </c>
      <c r="E176" s="6" t="s">
        <v>57</v>
      </c>
      <c r="F176" s="6">
        <v>48</v>
      </c>
      <c r="G176" s="6" t="s">
        <v>49</v>
      </c>
      <c r="H176" s="6" t="s">
        <v>140</v>
      </c>
      <c r="I176" s="6" t="s">
        <v>601</v>
      </c>
      <c r="J176" s="6">
        <v>36710</v>
      </c>
      <c r="K176" s="6" t="s">
        <v>18</v>
      </c>
      <c r="L176" s="6" t="s">
        <v>602</v>
      </c>
      <c r="M176" s="6" t="s">
        <v>61</v>
      </c>
      <c r="N176" s="10" t="e">
        <f>VLOOKUP(G176,Departments!A175:C180,3,0)</f>
        <v>#N/A</v>
      </c>
      <c r="O176" s="13" t="e">
        <f>INDEX(Departments!C175:C180,MATCH(Employees!G176,Departments!A175:A180,0))</f>
        <v>#N/A</v>
      </c>
    </row>
    <row r="177" spans="1:15" x14ac:dyDescent="0.35">
      <c r="A177" s="7" t="s">
        <v>603</v>
      </c>
      <c r="B177" s="7" t="s">
        <v>175</v>
      </c>
      <c r="C177" s="7" t="s">
        <v>115</v>
      </c>
      <c r="D177" s="8" t="str">
        <f t="shared" si="2"/>
        <v>NEHA SEN</v>
      </c>
      <c r="E177" s="7" t="s">
        <v>57</v>
      </c>
      <c r="F177" s="7">
        <v>58</v>
      </c>
      <c r="G177" s="7" t="s">
        <v>49</v>
      </c>
      <c r="H177" s="7" t="s">
        <v>70</v>
      </c>
      <c r="I177" s="7" t="s">
        <v>604</v>
      </c>
      <c r="J177" s="7">
        <v>78149</v>
      </c>
      <c r="K177" s="7" t="s">
        <v>30</v>
      </c>
      <c r="L177" s="7" t="s">
        <v>605</v>
      </c>
      <c r="M177" s="7" t="s">
        <v>73</v>
      </c>
      <c r="N177" s="10" t="e">
        <f>VLOOKUP(G177,Departments!A176:C181,3,0)</f>
        <v>#N/A</v>
      </c>
      <c r="O177" s="13" t="e">
        <f>INDEX(Departments!C176:C181,MATCH(Employees!G177,Departments!A176:A181,0))</f>
        <v>#N/A</v>
      </c>
    </row>
    <row r="178" spans="1:15" x14ac:dyDescent="0.35">
      <c r="A178" s="6" t="s">
        <v>606</v>
      </c>
      <c r="B178" s="6" t="s">
        <v>89</v>
      </c>
      <c r="C178" s="6" t="s">
        <v>122</v>
      </c>
      <c r="D178" s="8" t="str">
        <f t="shared" si="2"/>
        <v>SARA PAUL</v>
      </c>
      <c r="E178" s="6" t="s">
        <v>57</v>
      </c>
      <c r="F178" s="6">
        <v>57</v>
      </c>
      <c r="G178" s="6" t="s">
        <v>52</v>
      </c>
      <c r="H178" s="6" t="s">
        <v>70</v>
      </c>
      <c r="I178" s="6" t="s">
        <v>607</v>
      </c>
      <c r="J178" s="6">
        <v>93998</v>
      </c>
      <c r="K178" s="6" t="s">
        <v>30</v>
      </c>
      <c r="L178" s="6" t="s">
        <v>608</v>
      </c>
      <c r="M178" s="6" t="s">
        <v>73</v>
      </c>
      <c r="N178" s="10" t="e">
        <f>VLOOKUP(G178,Departments!A177:C182,3,0)</f>
        <v>#N/A</v>
      </c>
      <c r="O178" s="13" t="e">
        <f>INDEX(Departments!C177:C182,MATCH(Employees!G178,Departments!A177:A182,0))</f>
        <v>#N/A</v>
      </c>
    </row>
    <row r="179" spans="1:15" x14ac:dyDescent="0.35">
      <c r="A179" s="7" t="s">
        <v>609</v>
      </c>
      <c r="B179" s="7" t="s">
        <v>93</v>
      </c>
      <c r="C179" s="7" t="s">
        <v>111</v>
      </c>
      <c r="D179" s="8" t="str">
        <f t="shared" si="2"/>
        <v>JOHN KHAN</v>
      </c>
      <c r="E179" s="7" t="s">
        <v>64</v>
      </c>
      <c r="F179" s="7">
        <v>50</v>
      </c>
      <c r="G179" s="7" t="s">
        <v>49</v>
      </c>
      <c r="H179" s="7" t="s">
        <v>76</v>
      </c>
      <c r="I179" s="7" t="s">
        <v>610</v>
      </c>
      <c r="J179" s="7">
        <v>47599</v>
      </c>
      <c r="K179" s="7" t="s">
        <v>37</v>
      </c>
      <c r="L179" s="7" t="s">
        <v>611</v>
      </c>
      <c r="M179" s="7" t="s">
        <v>61</v>
      </c>
      <c r="N179" s="10" t="e">
        <f>VLOOKUP(G179,Departments!A178:C183,3,0)</f>
        <v>#N/A</v>
      </c>
      <c r="O179" s="13" t="e">
        <f>INDEX(Departments!C178:C183,MATCH(Employees!G179,Departments!A178:A183,0))</f>
        <v>#N/A</v>
      </c>
    </row>
    <row r="180" spans="1:15" x14ac:dyDescent="0.35">
      <c r="A180" s="6" t="s">
        <v>612</v>
      </c>
      <c r="B180" s="6" t="s">
        <v>89</v>
      </c>
      <c r="C180" s="6" t="s">
        <v>81</v>
      </c>
      <c r="D180" s="8" t="str">
        <f t="shared" si="2"/>
        <v>SARA GHOSH</v>
      </c>
      <c r="E180" s="6" t="s">
        <v>57</v>
      </c>
      <c r="F180" s="6">
        <v>32</v>
      </c>
      <c r="G180" s="6" t="s">
        <v>50</v>
      </c>
      <c r="H180" s="6" t="s">
        <v>65</v>
      </c>
      <c r="I180" s="6" t="s">
        <v>613</v>
      </c>
      <c r="J180" s="6">
        <v>82412</v>
      </c>
      <c r="K180" s="6" t="s">
        <v>28</v>
      </c>
      <c r="L180" s="6" t="s">
        <v>614</v>
      </c>
      <c r="M180" s="6" t="s">
        <v>73</v>
      </c>
      <c r="N180" s="10" t="e">
        <f>VLOOKUP(G180,Departments!A179:C184,3,0)</f>
        <v>#N/A</v>
      </c>
      <c r="O180" s="13" t="e">
        <f>INDEX(Departments!C179:C184,MATCH(Employees!G180,Departments!A179:A184,0))</f>
        <v>#N/A</v>
      </c>
    </row>
    <row r="181" spans="1:15" x14ac:dyDescent="0.35">
      <c r="A181" s="7" t="s">
        <v>615</v>
      </c>
      <c r="B181" s="7" t="s">
        <v>69</v>
      </c>
      <c r="C181" s="7" t="s">
        <v>111</v>
      </c>
      <c r="D181" s="8" t="str">
        <f t="shared" si="2"/>
        <v>ROHIT KHAN</v>
      </c>
      <c r="E181" s="7" t="s">
        <v>64</v>
      </c>
      <c r="F181" s="7">
        <v>52</v>
      </c>
      <c r="G181" s="7" t="s">
        <v>52</v>
      </c>
      <c r="H181" s="7" t="s">
        <v>58</v>
      </c>
      <c r="I181" s="7" t="s">
        <v>616</v>
      </c>
      <c r="J181" s="7">
        <v>82496</v>
      </c>
      <c r="K181" s="7" t="s">
        <v>28</v>
      </c>
      <c r="L181" s="7" t="s">
        <v>617</v>
      </c>
      <c r="M181" s="7" t="s">
        <v>61</v>
      </c>
      <c r="N181" s="10" t="e">
        <f>VLOOKUP(G181,Departments!A180:C185,3,0)</f>
        <v>#N/A</v>
      </c>
      <c r="O181" s="13" t="e">
        <f>INDEX(Departments!C180:C185,MATCH(Employees!G181,Departments!A180:A185,0))</f>
        <v>#N/A</v>
      </c>
    </row>
    <row r="182" spans="1:15" x14ac:dyDescent="0.35">
      <c r="A182" s="6" t="s">
        <v>618</v>
      </c>
      <c r="B182" s="6" t="s">
        <v>85</v>
      </c>
      <c r="C182" s="6" t="s">
        <v>162</v>
      </c>
      <c r="D182" s="8" t="str">
        <f t="shared" si="2"/>
        <v>RAHUL DAS</v>
      </c>
      <c r="E182" s="6" t="s">
        <v>57</v>
      </c>
      <c r="F182" s="6">
        <v>60</v>
      </c>
      <c r="G182" s="6" t="s">
        <v>52</v>
      </c>
      <c r="H182" s="6" t="s">
        <v>65</v>
      </c>
      <c r="I182" s="6" t="s">
        <v>619</v>
      </c>
      <c r="J182" s="6">
        <v>51231</v>
      </c>
      <c r="K182" s="6" t="s">
        <v>28</v>
      </c>
      <c r="L182" s="6" t="s">
        <v>620</v>
      </c>
      <c r="M182" s="6" t="s">
        <v>73</v>
      </c>
      <c r="N182" s="10" t="e">
        <f>VLOOKUP(G182,Departments!A181:C186,3,0)</f>
        <v>#N/A</v>
      </c>
      <c r="O182" s="13" t="e">
        <f>INDEX(Departments!C181:C186,MATCH(Employees!G182,Departments!A181:A186,0))</f>
        <v>#N/A</v>
      </c>
    </row>
    <row r="183" spans="1:15" x14ac:dyDescent="0.35">
      <c r="A183" s="7" t="s">
        <v>621</v>
      </c>
      <c r="B183" s="7" t="s">
        <v>175</v>
      </c>
      <c r="C183" s="7" t="s">
        <v>56</v>
      </c>
      <c r="D183" s="8" t="str">
        <f t="shared" si="2"/>
        <v>NEHA DUTTA</v>
      </c>
      <c r="E183" s="7" t="s">
        <v>57</v>
      </c>
      <c r="F183" s="7">
        <v>48</v>
      </c>
      <c r="G183" s="7" t="s">
        <v>50</v>
      </c>
      <c r="H183" s="7" t="s">
        <v>65</v>
      </c>
      <c r="I183" s="7" t="s">
        <v>622</v>
      </c>
      <c r="J183" s="7">
        <v>119053</v>
      </c>
      <c r="K183" s="7" t="s">
        <v>30</v>
      </c>
      <c r="L183" s="7" t="s">
        <v>623</v>
      </c>
      <c r="M183" s="7" t="s">
        <v>61</v>
      </c>
      <c r="N183" s="10" t="e">
        <f>VLOOKUP(G183,Departments!A182:C187,3,0)</f>
        <v>#N/A</v>
      </c>
      <c r="O183" s="13" t="e">
        <f>INDEX(Departments!C182:C187,MATCH(Employees!G183,Departments!A182:A187,0))</f>
        <v>#N/A</v>
      </c>
    </row>
    <row r="184" spans="1:15" x14ac:dyDescent="0.35">
      <c r="A184" s="6" t="s">
        <v>624</v>
      </c>
      <c r="B184" s="6" t="s">
        <v>104</v>
      </c>
      <c r="C184" s="6" t="s">
        <v>115</v>
      </c>
      <c r="D184" s="8" t="str">
        <f t="shared" si="2"/>
        <v>ANITA SEN</v>
      </c>
      <c r="E184" s="6" t="s">
        <v>64</v>
      </c>
      <c r="F184" s="6">
        <v>60</v>
      </c>
      <c r="G184" s="6" t="s">
        <v>52</v>
      </c>
      <c r="H184" s="6" t="s">
        <v>58</v>
      </c>
      <c r="I184" s="6" t="s">
        <v>625</v>
      </c>
      <c r="J184" s="6">
        <v>111243</v>
      </c>
      <c r="K184" s="6" t="s">
        <v>30</v>
      </c>
      <c r="L184" s="6" t="s">
        <v>626</v>
      </c>
      <c r="M184" s="6" t="s">
        <v>61</v>
      </c>
      <c r="N184" s="10" t="e">
        <f>VLOOKUP(G184,Departments!A183:C188,3,0)</f>
        <v>#N/A</v>
      </c>
      <c r="O184" s="13" t="e">
        <f>INDEX(Departments!C183:C188,MATCH(Employees!G184,Departments!A183:A188,0))</f>
        <v>#N/A</v>
      </c>
    </row>
    <row r="185" spans="1:15" x14ac:dyDescent="0.35">
      <c r="A185" s="7" t="s">
        <v>627</v>
      </c>
      <c r="B185" s="7" t="s">
        <v>175</v>
      </c>
      <c r="C185" s="7" t="s">
        <v>97</v>
      </c>
      <c r="D185" s="8" t="str">
        <f t="shared" si="2"/>
        <v>NEHA SINGH</v>
      </c>
      <c r="E185" s="7" t="s">
        <v>57</v>
      </c>
      <c r="F185" s="7">
        <v>55</v>
      </c>
      <c r="G185" s="7" t="s">
        <v>51</v>
      </c>
      <c r="H185" s="7" t="s">
        <v>58</v>
      </c>
      <c r="I185" s="7" t="s">
        <v>628</v>
      </c>
      <c r="J185" s="7">
        <v>73063</v>
      </c>
      <c r="K185" s="7" t="s">
        <v>37</v>
      </c>
      <c r="L185" s="7" t="s">
        <v>629</v>
      </c>
      <c r="M185" s="7" t="s">
        <v>61</v>
      </c>
      <c r="N185" s="10" t="e">
        <f>VLOOKUP(G185,Departments!A184:C189,3,0)</f>
        <v>#N/A</v>
      </c>
      <c r="O185" s="13" t="e">
        <f>INDEX(Departments!C184:C189,MATCH(Employees!G185,Departments!A184:A189,0))</f>
        <v>#N/A</v>
      </c>
    </row>
    <row r="186" spans="1:15" x14ac:dyDescent="0.35">
      <c r="A186" s="6" t="s">
        <v>630</v>
      </c>
      <c r="B186" s="6" t="s">
        <v>175</v>
      </c>
      <c r="C186" s="6" t="s">
        <v>81</v>
      </c>
      <c r="D186" s="8" t="str">
        <f t="shared" si="2"/>
        <v>NEHA GHOSH</v>
      </c>
      <c r="E186" s="6" t="s">
        <v>64</v>
      </c>
      <c r="F186" s="6">
        <v>35</v>
      </c>
      <c r="G186" s="6" t="s">
        <v>53</v>
      </c>
      <c r="H186" s="6" t="s">
        <v>58</v>
      </c>
      <c r="I186" s="6" t="s">
        <v>459</v>
      </c>
      <c r="J186" s="6">
        <v>71247</v>
      </c>
      <c r="K186" s="6" t="s">
        <v>30</v>
      </c>
      <c r="L186" s="6" t="s">
        <v>631</v>
      </c>
      <c r="M186" s="6" t="s">
        <v>73</v>
      </c>
      <c r="N186" s="10" t="e">
        <f>VLOOKUP(G186,Departments!A185:C190,3,0)</f>
        <v>#N/A</v>
      </c>
      <c r="O186" s="13" t="e">
        <f>INDEX(Departments!C185:C190,MATCH(Employees!G186,Departments!A185:A190,0))</f>
        <v>#N/A</v>
      </c>
    </row>
    <row r="187" spans="1:15" x14ac:dyDescent="0.35">
      <c r="A187" s="7" t="s">
        <v>632</v>
      </c>
      <c r="B187" s="7" t="s">
        <v>75</v>
      </c>
      <c r="C187" s="7" t="s">
        <v>162</v>
      </c>
      <c r="D187" s="8" t="str">
        <f t="shared" si="2"/>
        <v>DAVID DAS</v>
      </c>
      <c r="E187" s="7" t="s">
        <v>64</v>
      </c>
      <c r="F187" s="7">
        <v>41</v>
      </c>
      <c r="G187" s="7" t="s">
        <v>52</v>
      </c>
      <c r="H187" s="7" t="s">
        <v>65</v>
      </c>
      <c r="I187" s="7" t="s">
        <v>633</v>
      </c>
      <c r="J187" s="7">
        <v>67422</v>
      </c>
      <c r="K187" s="7" t="s">
        <v>28</v>
      </c>
      <c r="L187" s="7" t="s">
        <v>634</v>
      </c>
      <c r="M187" s="7" t="s">
        <v>73</v>
      </c>
      <c r="N187" s="10" t="e">
        <f>VLOOKUP(G187,Departments!A186:C191,3,0)</f>
        <v>#N/A</v>
      </c>
      <c r="O187" s="13" t="e">
        <f>INDEX(Departments!C186:C191,MATCH(Employees!G187,Departments!A186:A191,0))</f>
        <v>#N/A</v>
      </c>
    </row>
    <row r="188" spans="1:15" x14ac:dyDescent="0.35">
      <c r="A188" s="6" t="s">
        <v>635</v>
      </c>
      <c r="B188" s="6" t="s">
        <v>69</v>
      </c>
      <c r="C188" s="6" t="s">
        <v>97</v>
      </c>
      <c r="D188" s="8" t="str">
        <f t="shared" si="2"/>
        <v>ROHIT SINGH</v>
      </c>
      <c r="E188" s="6" t="s">
        <v>57</v>
      </c>
      <c r="F188" s="6">
        <v>26</v>
      </c>
      <c r="G188" s="6" t="s">
        <v>51</v>
      </c>
      <c r="H188" s="6" t="s">
        <v>70</v>
      </c>
      <c r="I188" s="6" t="s">
        <v>233</v>
      </c>
      <c r="J188" s="6">
        <v>110628</v>
      </c>
      <c r="K188" s="6" t="s">
        <v>28</v>
      </c>
      <c r="L188" s="6" t="s">
        <v>636</v>
      </c>
      <c r="M188" s="6" t="s">
        <v>73</v>
      </c>
      <c r="N188" s="10" t="e">
        <f>VLOOKUP(G188,Departments!A187:C192,3,0)</f>
        <v>#N/A</v>
      </c>
      <c r="O188" s="13" t="e">
        <f>INDEX(Departments!C187:C192,MATCH(Employees!G188,Departments!A187:A192,0))</f>
        <v>#N/A</v>
      </c>
    </row>
    <row r="189" spans="1:15" x14ac:dyDescent="0.35">
      <c r="A189" s="7" t="s">
        <v>637</v>
      </c>
      <c r="B189" s="7" t="s">
        <v>85</v>
      </c>
      <c r="C189" s="7" t="s">
        <v>197</v>
      </c>
      <c r="D189" s="8" t="str">
        <f t="shared" si="2"/>
        <v>RAHUL BROWN</v>
      </c>
      <c r="E189" s="7" t="s">
        <v>57</v>
      </c>
      <c r="F189" s="7">
        <v>48</v>
      </c>
      <c r="G189" s="7" t="s">
        <v>53</v>
      </c>
      <c r="H189" s="7" t="s">
        <v>58</v>
      </c>
      <c r="I189" s="7" t="s">
        <v>638</v>
      </c>
      <c r="J189" s="7">
        <v>96540</v>
      </c>
      <c r="K189" s="7" t="s">
        <v>18</v>
      </c>
      <c r="L189" s="7" t="s">
        <v>639</v>
      </c>
      <c r="M189" s="7" t="s">
        <v>73</v>
      </c>
      <c r="N189" s="10" t="e">
        <f>VLOOKUP(G189,Departments!A188:C193,3,0)</f>
        <v>#N/A</v>
      </c>
      <c r="O189" s="13" t="e">
        <f>INDEX(Departments!C188:C193,MATCH(Employees!G189,Departments!A188:A193,0))</f>
        <v>#N/A</v>
      </c>
    </row>
    <row r="190" spans="1:15" x14ac:dyDescent="0.35">
      <c r="A190" s="6" t="s">
        <v>640</v>
      </c>
      <c r="B190" s="6" t="s">
        <v>89</v>
      </c>
      <c r="C190" s="6" t="s">
        <v>111</v>
      </c>
      <c r="D190" s="8" t="str">
        <f t="shared" si="2"/>
        <v>SARA KHAN</v>
      </c>
      <c r="E190" s="6" t="s">
        <v>57</v>
      </c>
      <c r="F190" s="6">
        <v>49</v>
      </c>
      <c r="G190" s="6" t="s">
        <v>53</v>
      </c>
      <c r="H190" s="6" t="s">
        <v>58</v>
      </c>
      <c r="I190" s="6" t="s">
        <v>641</v>
      </c>
      <c r="J190" s="6">
        <v>76991</v>
      </c>
      <c r="K190" s="6" t="s">
        <v>13</v>
      </c>
      <c r="L190" s="6" t="s">
        <v>642</v>
      </c>
      <c r="M190" s="6" t="s">
        <v>61</v>
      </c>
      <c r="N190" s="10" t="e">
        <f>VLOOKUP(G190,Departments!A189:C194,3,0)</f>
        <v>#N/A</v>
      </c>
      <c r="O190" s="13" t="e">
        <f>INDEX(Departments!C189:C194,MATCH(Employees!G190,Departments!A189:A194,0))</f>
        <v>#N/A</v>
      </c>
    </row>
    <row r="191" spans="1:15" x14ac:dyDescent="0.35">
      <c r="A191" s="7" t="s">
        <v>643</v>
      </c>
      <c r="B191" s="7" t="s">
        <v>93</v>
      </c>
      <c r="C191" s="7" t="s">
        <v>162</v>
      </c>
      <c r="D191" s="8" t="str">
        <f t="shared" si="2"/>
        <v>JOHN DAS</v>
      </c>
      <c r="E191" s="7" t="s">
        <v>64</v>
      </c>
      <c r="F191" s="7">
        <v>26</v>
      </c>
      <c r="G191" s="7" t="s">
        <v>52</v>
      </c>
      <c r="H191" s="7" t="s">
        <v>58</v>
      </c>
      <c r="I191" s="7" t="s">
        <v>644</v>
      </c>
      <c r="J191" s="7">
        <v>92562</v>
      </c>
      <c r="K191" s="7" t="s">
        <v>18</v>
      </c>
      <c r="L191" s="7" t="s">
        <v>645</v>
      </c>
      <c r="M191" s="7" t="s">
        <v>73</v>
      </c>
      <c r="N191" s="10" t="e">
        <f>VLOOKUP(G191,Departments!A190:C195,3,0)</f>
        <v>#N/A</v>
      </c>
      <c r="O191" s="13" t="e">
        <f>INDEX(Departments!C190:C195,MATCH(Employees!G191,Departments!A190:A195,0))</f>
        <v>#N/A</v>
      </c>
    </row>
    <row r="192" spans="1:15" x14ac:dyDescent="0.35">
      <c r="A192" s="6" t="s">
        <v>646</v>
      </c>
      <c r="B192" s="6" t="s">
        <v>175</v>
      </c>
      <c r="C192" s="6" t="s">
        <v>197</v>
      </c>
      <c r="D192" s="8" t="str">
        <f t="shared" si="2"/>
        <v>NEHA BROWN</v>
      </c>
      <c r="E192" s="6" t="s">
        <v>57</v>
      </c>
      <c r="F192" s="6">
        <v>51</v>
      </c>
      <c r="G192" s="6" t="s">
        <v>52</v>
      </c>
      <c r="H192" s="6" t="s">
        <v>76</v>
      </c>
      <c r="I192" s="6" t="s">
        <v>647</v>
      </c>
      <c r="J192" s="6">
        <v>102983</v>
      </c>
      <c r="K192" s="6" t="s">
        <v>18</v>
      </c>
      <c r="L192" s="6" t="s">
        <v>648</v>
      </c>
      <c r="M192" s="6" t="s">
        <v>73</v>
      </c>
      <c r="N192" s="10" t="e">
        <f>VLOOKUP(G192,Departments!A191:C196,3,0)</f>
        <v>#N/A</v>
      </c>
      <c r="O192" s="13" t="e">
        <f>INDEX(Departments!C191:C196,MATCH(Employees!G192,Departments!A191:A196,0))</f>
        <v>#N/A</v>
      </c>
    </row>
    <row r="193" spans="1:15" x14ac:dyDescent="0.35">
      <c r="A193" s="7" t="s">
        <v>649</v>
      </c>
      <c r="B193" s="7" t="s">
        <v>175</v>
      </c>
      <c r="C193" s="7" t="s">
        <v>127</v>
      </c>
      <c r="D193" s="8" t="str">
        <f t="shared" si="2"/>
        <v>NEHA SMITH</v>
      </c>
      <c r="E193" s="7" t="s">
        <v>64</v>
      </c>
      <c r="F193" s="7">
        <v>23</v>
      </c>
      <c r="G193" s="7" t="s">
        <v>49</v>
      </c>
      <c r="H193" s="7" t="s">
        <v>70</v>
      </c>
      <c r="I193" s="7" t="s">
        <v>650</v>
      </c>
      <c r="J193" s="7">
        <v>114420</v>
      </c>
      <c r="K193" s="7" t="s">
        <v>30</v>
      </c>
      <c r="L193" s="7" t="s">
        <v>651</v>
      </c>
      <c r="M193" s="7" t="s">
        <v>61</v>
      </c>
      <c r="N193" s="10" t="e">
        <f>VLOOKUP(G193,Departments!A192:C197,3,0)</f>
        <v>#N/A</v>
      </c>
      <c r="O193" s="13" t="e">
        <f>INDEX(Departments!C192:C197,MATCH(Employees!G193,Departments!A192:A197,0))</f>
        <v>#N/A</v>
      </c>
    </row>
    <row r="194" spans="1:15" x14ac:dyDescent="0.35">
      <c r="A194" s="6" t="s">
        <v>652</v>
      </c>
      <c r="B194" s="6" t="s">
        <v>69</v>
      </c>
      <c r="C194" s="6" t="s">
        <v>197</v>
      </c>
      <c r="D194" s="8" t="str">
        <f t="shared" si="2"/>
        <v>ROHIT BROWN</v>
      </c>
      <c r="E194" s="6" t="s">
        <v>57</v>
      </c>
      <c r="F194" s="6">
        <v>58</v>
      </c>
      <c r="G194" s="6" t="s">
        <v>50</v>
      </c>
      <c r="H194" s="6" t="s">
        <v>70</v>
      </c>
      <c r="I194" s="6" t="s">
        <v>653</v>
      </c>
      <c r="J194" s="6">
        <v>108419</v>
      </c>
      <c r="K194" s="6" t="s">
        <v>13</v>
      </c>
      <c r="L194" s="6" t="s">
        <v>654</v>
      </c>
      <c r="M194" s="6" t="s">
        <v>61</v>
      </c>
      <c r="N194" s="10" t="e">
        <f>VLOOKUP(G194,Departments!A193:C198,3,0)</f>
        <v>#N/A</v>
      </c>
      <c r="O194" s="13" t="e">
        <f>INDEX(Departments!C193:C198,MATCH(Employees!G194,Departments!A193:A198,0))</f>
        <v>#N/A</v>
      </c>
    </row>
    <row r="195" spans="1:15" x14ac:dyDescent="0.35">
      <c r="A195" s="7" t="s">
        <v>655</v>
      </c>
      <c r="B195" s="7" t="s">
        <v>126</v>
      </c>
      <c r="C195" s="7" t="s">
        <v>81</v>
      </c>
      <c r="D195" s="8" t="str">
        <f t="shared" ref="D195:D258" si="3">UPPER(_xlfn.CONCAT(B195," ",C195))</f>
        <v>PRIYA GHOSH</v>
      </c>
      <c r="E195" s="7" t="s">
        <v>64</v>
      </c>
      <c r="F195" s="7">
        <v>54</v>
      </c>
      <c r="G195" s="7" t="s">
        <v>52</v>
      </c>
      <c r="H195" s="7" t="s">
        <v>140</v>
      </c>
      <c r="I195" s="7" t="s">
        <v>656</v>
      </c>
      <c r="J195" s="7">
        <v>100498</v>
      </c>
      <c r="K195" s="7" t="s">
        <v>28</v>
      </c>
      <c r="L195" s="7" t="s">
        <v>657</v>
      </c>
      <c r="M195" s="7" t="s">
        <v>73</v>
      </c>
      <c r="N195" s="10" t="e">
        <f>VLOOKUP(G195,Departments!A194:C199,3,0)</f>
        <v>#N/A</v>
      </c>
      <c r="O195" s="13" t="e">
        <f>INDEX(Departments!C194:C199,MATCH(Employees!G195,Departments!A194:A199,0))</f>
        <v>#N/A</v>
      </c>
    </row>
    <row r="196" spans="1:15" x14ac:dyDescent="0.35">
      <c r="A196" s="6" t="s">
        <v>658</v>
      </c>
      <c r="B196" s="6" t="s">
        <v>55</v>
      </c>
      <c r="C196" s="6" t="s">
        <v>197</v>
      </c>
      <c r="D196" s="8" t="str">
        <f t="shared" si="3"/>
        <v>AMIT BROWN</v>
      </c>
      <c r="E196" s="6" t="s">
        <v>64</v>
      </c>
      <c r="F196" s="6">
        <v>48</v>
      </c>
      <c r="G196" s="6" t="s">
        <v>51</v>
      </c>
      <c r="H196" s="6" t="s">
        <v>58</v>
      </c>
      <c r="I196" s="6" t="s">
        <v>659</v>
      </c>
      <c r="J196" s="6">
        <v>62004</v>
      </c>
      <c r="K196" s="6" t="s">
        <v>28</v>
      </c>
      <c r="L196" s="6" t="s">
        <v>660</v>
      </c>
      <c r="M196" s="6" t="s">
        <v>61</v>
      </c>
      <c r="N196" s="10" t="e">
        <f>VLOOKUP(G196,Departments!A195:C200,3,0)</f>
        <v>#N/A</v>
      </c>
      <c r="O196" s="13" t="e">
        <f>INDEX(Departments!C195:C200,MATCH(Employees!G196,Departments!A195:A200,0))</f>
        <v>#N/A</v>
      </c>
    </row>
    <row r="197" spans="1:15" x14ac:dyDescent="0.35">
      <c r="A197" s="7" t="s">
        <v>661</v>
      </c>
      <c r="B197" s="7" t="s">
        <v>93</v>
      </c>
      <c r="C197" s="7" t="s">
        <v>115</v>
      </c>
      <c r="D197" s="8" t="str">
        <f t="shared" si="3"/>
        <v>JOHN SEN</v>
      </c>
      <c r="E197" s="7" t="s">
        <v>64</v>
      </c>
      <c r="F197" s="7">
        <v>46</v>
      </c>
      <c r="G197" s="7" t="s">
        <v>53</v>
      </c>
      <c r="H197" s="7" t="s">
        <v>65</v>
      </c>
      <c r="I197" s="7" t="s">
        <v>662</v>
      </c>
      <c r="J197" s="7">
        <v>37033</v>
      </c>
      <c r="K197" s="7" t="s">
        <v>13</v>
      </c>
      <c r="L197" s="7" t="s">
        <v>663</v>
      </c>
      <c r="M197" s="7" t="s">
        <v>73</v>
      </c>
      <c r="N197" s="10" t="e">
        <f>VLOOKUP(G197,Departments!A196:C201,3,0)</f>
        <v>#N/A</v>
      </c>
      <c r="O197" s="13" t="e">
        <f>INDEX(Departments!C196:C201,MATCH(Employees!G197,Departments!A196:A201,0))</f>
        <v>#N/A</v>
      </c>
    </row>
    <row r="198" spans="1:15" x14ac:dyDescent="0.35">
      <c r="A198" s="6" t="s">
        <v>664</v>
      </c>
      <c r="B198" s="6" t="s">
        <v>55</v>
      </c>
      <c r="C198" s="6" t="s">
        <v>97</v>
      </c>
      <c r="D198" s="8" t="str">
        <f t="shared" si="3"/>
        <v>AMIT SINGH</v>
      </c>
      <c r="E198" s="6" t="s">
        <v>64</v>
      </c>
      <c r="F198" s="6">
        <v>25</v>
      </c>
      <c r="G198" s="6" t="s">
        <v>53</v>
      </c>
      <c r="H198" s="6" t="s">
        <v>140</v>
      </c>
      <c r="I198" s="6" t="s">
        <v>665</v>
      </c>
      <c r="J198" s="6">
        <v>58062</v>
      </c>
      <c r="K198" s="6" t="s">
        <v>18</v>
      </c>
      <c r="L198" s="6" t="s">
        <v>666</v>
      </c>
      <c r="M198" s="6" t="s">
        <v>61</v>
      </c>
      <c r="N198" s="10" t="e">
        <f>VLOOKUP(G198,Departments!A197:C202,3,0)</f>
        <v>#N/A</v>
      </c>
      <c r="O198" s="13" t="e">
        <f>INDEX(Departments!C197:C202,MATCH(Employees!G198,Departments!A197:A202,0))</f>
        <v>#N/A</v>
      </c>
    </row>
    <row r="199" spans="1:15" x14ac:dyDescent="0.35">
      <c r="A199" s="7" t="s">
        <v>667</v>
      </c>
      <c r="B199" s="7" t="s">
        <v>80</v>
      </c>
      <c r="C199" s="7" t="s">
        <v>162</v>
      </c>
      <c r="D199" s="8" t="str">
        <f t="shared" si="3"/>
        <v>JANE DAS</v>
      </c>
      <c r="E199" s="7" t="s">
        <v>57</v>
      </c>
      <c r="F199" s="7">
        <v>29</v>
      </c>
      <c r="G199" s="7" t="s">
        <v>49</v>
      </c>
      <c r="H199" s="7" t="s">
        <v>76</v>
      </c>
      <c r="I199" s="7" t="s">
        <v>293</v>
      </c>
      <c r="J199" s="7">
        <v>49357</v>
      </c>
      <c r="K199" s="7" t="s">
        <v>13</v>
      </c>
      <c r="L199" s="7" t="s">
        <v>668</v>
      </c>
      <c r="M199" s="7" t="s">
        <v>61</v>
      </c>
      <c r="N199" s="10" t="e">
        <f>VLOOKUP(G199,Departments!A198:C203,3,0)</f>
        <v>#N/A</v>
      </c>
      <c r="O199" s="13" t="e">
        <f>INDEX(Departments!C198:C203,MATCH(Employees!G199,Departments!A198:A203,0))</f>
        <v>#N/A</v>
      </c>
    </row>
    <row r="200" spans="1:15" x14ac:dyDescent="0.35">
      <c r="A200" s="6" t="s">
        <v>669</v>
      </c>
      <c r="B200" s="6" t="s">
        <v>104</v>
      </c>
      <c r="C200" s="6" t="s">
        <v>122</v>
      </c>
      <c r="D200" s="8" t="str">
        <f t="shared" si="3"/>
        <v>ANITA PAUL</v>
      </c>
      <c r="E200" s="6" t="s">
        <v>57</v>
      </c>
      <c r="F200" s="6">
        <v>54</v>
      </c>
      <c r="G200" s="6" t="s">
        <v>52</v>
      </c>
      <c r="H200" s="6" t="s">
        <v>65</v>
      </c>
      <c r="I200" s="6" t="s">
        <v>670</v>
      </c>
      <c r="J200" s="6">
        <v>59758</v>
      </c>
      <c r="K200" s="6" t="s">
        <v>18</v>
      </c>
      <c r="L200" s="6" t="s">
        <v>671</v>
      </c>
      <c r="M200" s="6" t="s">
        <v>73</v>
      </c>
      <c r="N200" s="10" t="e">
        <f>VLOOKUP(G200,Departments!A199:C204,3,0)</f>
        <v>#N/A</v>
      </c>
      <c r="O200" s="13" t="e">
        <f>INDEX(Departments!C199:C204,MATCH(Employees!G200,Departments!A199:A204,0))</f>
        <v>#N/A</v>
      </c>
    </row>
    <row r="201" spans="1:15" x14ac:dyDescent="0.35">
      <c r="A201" s="7" t="s">
        <v>672</v>
      </c>
      <c r="B201" s="7" t="s">
        <v>126</v>
      </c>
      <c r="C201" s="7" t="s">
        <v>197</v>
      </c>
      <c r="D201" s="8" t="str">
        <f t="shared" si="3"/>
        <v>PRIYA BROWN</v>
      </c>
      <c r="E201" s="7" t="s">
        <v>64</v>
      </c>
      <c r="F201" s="7">
        <v>37</v>
      </c>
      <c r="G201" s="7" t="s">
        <v>50</v>
      </c>
      <c r="H201" s="7" t="s">
        <v>58</v>
      </c>
      <c r="I201" s="7" t="s">
        <v>673</v>
      </c>
      <c r="J201" s="7">
        <v>45788</v>
      </c>
      <c r="K201" s="7" t="s">
        <v>37</v>
      </c>
      <c r="L201" s="7" t="s">
        <v>674</v>
      </c>
      <c r="M201" s="7" t="s">
        <v>73</v>
      </c>
      <c r="N201" s="10" t="e">
        <f>VLOOKUP(G201,Departments!A200:C205,3,0)</f>
        <v>#N/A</v>
      </c>
      <c r="O201" s="13" t="e">
        <f>INDEX(Departments!C200:C205,MATCH(Employees!G201,Departments!A200:A205,0))</f>
        <v>#N/A</v>
      </c>
    </row>
    <row r="202" spans="1:15" x14ac:dyDescent="0.35">
      <c r="A202" s="6" t="s">
        <v>675</v>
      </c>
      <c r="B202" s="6" t="s">
        <v>69</v>
      </c>
      <c r="C202" s="6" t="s">
        <v>63</v>
      </c>
      <c r="D202" s="8" t="str">
        <f t="shared" si="3"/>
        <v>ROHIT ROY</v>
      </c>
      <c r="E202" s="6" t="s">
        <v>64</v>
      </c>
      <c r="F202" s="6">
        <v>28</v>
      </c>
      <c r="G202" s="6" t="s">
        <v>49</v>
      </c>
      <c r="H202" s="6" t="s">
        <v>70</v>
      </c>
      <c r="I202" s="6" t="s">
        <v>676</v>
      </c>
      <c r="J202" s="6">
        <v>38862</v>
      </c>
      <c r="K202" s="6" t="s">
        <v>28</v>
      </c>
      <c r="L202" s="6" t="s">
        <v>677</v>
      </c>
      <c r="M202" s="6" t="s">
        <v>73</v>
      </c>
      <c r="N202" s="10" t="e">
        <f>VLOOKUP(G202,Departments!A201:C206,3,0)</f>
        <v>#N/A</v>
      </c>
      <c r="O202" s="13" t="e">
        <f>INDEX(Departments!C201:C206,MATCH(Employees!G202,Departments!A201:A206,0))</f>
        <v>#N/A</v>
      </c>
    </row>
    <row r="203" spans="1:15" x14ac:dyDescent="0.35">
      <c r="A203" s="7" t="s">
        <v>678</v>
      </c>
      <c r="B203" s="7" t="s">
        <v>80</v>
      </c>
      <c r="C203" s="7" t="s">
        <v>197</v>
      </c>
      <c r="D203" s="8" t="str">
        <f t="shared" si="3"/>
        <v>JANE BROWN</v>
      </c>
      <c r="E203" s="7" t="s">
        <v>64</v>
      </c>
      <c r="F203" s="7">
        <v>48</v>
      </c>
      <c r="G203" s="7" t="s">
        <v>51</v>
      </c>
      <c r="H203" s="7" t="s">
        <v>76</v>
      </c>
      <c r="I203" s="7" t="s">
        <v>679</v>
      </c>
      <c r="J203" s="7">
        <v>76132</v>
      </c>
      <c r="K203" s="7" t="s">
        <v>30</v>
      </c>
      <c r="L203" s="7" t="s">
        <v>680</v>
      </c>
      <c r="M203" s="7" t="s">
        <v>73</v>
      </c>
      <c r="N203" s="10" t="e">
        <f>VLOOKUP(G203,Departments!A202:C207,3,0)</f>
        <v>#N/A</v>
      </c>
      <c r="O203" s="13" t="e">
        <f>INDEX(Departments!C202:C207,MATCH(Employees!G203,Departments!A202:A207,0))</f>
        <v>#N/A</v>
      </c>
    </row>
    <row r="204" spans="1:15" x14ac:dyDescent="0.35">
      <c r="A204" s="6" t="s">
        <v>681</v>
      </c>
      <c r="B204" s="6" t="s">
        <v>69</v>
      </c>
      <c r="C204" s="6" t="s">
        <v>111</v>
      </c>
      <c r="D204" s="8" t="str">
        <f t="shared" si="3"/>
        <v>ROHIT KHAN</v>
      </c>
      <c r="E204" s="6" t="s">
        <v>64</v>
      </c>
      <c r="F204" s="6">
        <v>49</v>
      </c>
      <c r="G204" s="6" t="s">
        <v>51</v>
      </c>
      <c r="H204" s="6" t="s">
        <v>58</v>
      </c>
      <c r="I204" s="6" t="s">
        <v>682</v>
      </c>
      <c r="J204" s="6">
        <v>56773</v>
      </c>
      <c r="K204" s="6" t="s">
        <v>37</v>
      </c>
      <c r="L204" s="6" t="s">
        <v>683</v>
      </c>
      <c r="M204" s="6" t="s">
        <v>61</v>
      </c>
      <c r="N204" s="10" t="e">
        <f>VLOOKUP(G204,Departments!A203:C208,3,0)</f>
        <v>#N/A</v>
      </c>
      <c r="O204" s="13" t="e">
        <f>INDEX(Departments!C203:C208,MATCH(Employees!G204,Departments!A203:A208,0))</f>
        <v>#N/A</v>
      </c>
    </row>
    <row r="205" spans="1:15" x14ac:dyDescent="0.35">
      <c r="A205" s="7" t="s">
        <v>684</v>
      </c>
      <c r="B205" s="7" t="s">
        <v>69</v>
      </c>
      <c r="C205" s="7" t="s">
        <v>63</v>
      </c>
      <c r="D205" s="8" t="str">
        <f t="shared" si="3"/>
        <v>ROHIT ROY</v>
      </c>
      <c r="E205" s="7" t="s">
        <v>57</v>
      </c>
      <c r="F205" s="7">
        <v>25</v>
      </c>
      <c r="G205" s="7" t="s">
        <v>49</v>
      </c>
      <c r="H205" s="7" t="s">
        <v>76</v>
      </c>
      <c r="I205" s="7" t="s">
        <v>685</v>
      </c>
      <c r="J205" s="7">
        <v>84117</v>
      </c>
      <c r="K205" s="7" t="s">
        <v>37</v>
      </c>
      <c r="L205" s="7" t="s">
        <v>686</v>
      </c>
      <c r="M205" s="7" t="s">
        <v>73</v>
      </c>
      <c r="N205" s="10" t="e">
        <f>VLOOKUP(G205,Departments!A204:C209,3,0)</f>
        <v>#N/A</v>
      </c>
      <c r="O205" s="13" t="e">
        <f>INDEX(Departments!C204:C209,MATCH(Employees!G205,Departments!A204:A209,0))</f>
        <v>#N/A</v>
      </c>
    </row>
    <row r="206" spans="1:15" x14ac:dyDescent="0.35">
      <c r="A206" s="6" t="s">
        <v>687</v>
      </c>
      <c r="B206" s="6" t="s">
        <v>93</v>
      </c>
      <c r="C206" s="6" t="s">
        <v>81</v>
      </c>
      <c r="D206" s="8" t="str">
        <f t="shared" si="3"/>
        <v>JOHN GHOSH</v>
      </c>
      <c r="E206" s="6" t="s">
        <v>64</v>
      </c>
      <c r="F206" s="6">
        <v>41</v>
      </c>
      <c r="G206" s="6" t="s">
        <v>49</v>
      </c>
      <c r="H206" s="6" t="s">
        <v>65</v>
      </c>
      <c r="I206" s="6" t="s">
        <v>688</v>
      </c>
      <c r="J206" s="6">
        <v>111999</v>
      </c>
      <c r="K206" s="6" t="s">
        <v>37</v>
      </c>
      <c r="L206" s="6" t="s">
        <v>689</v>
      </c>
      <c r="M206" s="6" t="s">
        <v>73</v>
      </c>
      <c r="N206" s="10" t="e">
        <f>VLOOKUP(G206,Departments!A205:C210,3,0)</f>
        <v>#N/A</v>
      </c>
      <c r="O206" s="13" t="e">
        <f>INDEX(Departments!C205:C210,MATCH(Employees!G206,Departments!A205:A210,0))</f>
        <v>#N/A</v>
      </c>
    </row>
    <row r="207" spans="1:15" x14ac:dyDescent="0.35">
      <c r="A207" s="7" t="s">
        <v>690</v>
      </c>
      <c r="B207" s="7" t="s">
        <v>55</v>
      </c>
      <c r="C207" s="7" t="s">
        <v>81</v>
      </c>
      <c r="D207" s="8" t="str">
        <f t="shared" si="3"/>
        <v>AMIT GHOSH</v>
      </c>
      <c r="E207" s="7" t="s">
        <v>57</v>
      </c>
      <c r="F207" s="7">
        <v>23</v>
      </c>
      <c r="G207" s="7" t="s">
        <v>49</v>
      </c>
      <c r="H207" s="7" t="s">
        <v>76</v>
      </c>
      <c r="I207" s="7" t="s">
        <v>504</v>
      </c>
      <c r="J207" s="7">
        <v>93395</v>
      </c>
      <c r="K207" s="7" t="s">
        <v>28</v>
      </c>
      <c r="L207" s="7" t="s">
        <v>691</v>
      </c>
      <c r="M207" s="7" t="s">
        <v>61</v>
      </c>
      <c r="N207" s="10" t="e">
        <f>VLOOKUP(G207,Departments!A206:C211,3,0)</f>
        <v>#N/A</v>
      </c>
      <c r="O207" s="13" t="e">
        <f>INDEX(Departments!C206:C211,MATCH(Employees!G207,Departments!A206:A211,0))</f>
        <v>#N/A</v>
      </c>
    </row>
    <row r="208" spans="1:15" x14ac:dyDescent="0.35">
      <c r="A208" s="6" t="s">
        <v>692</v>
      </c>
      <c r="B208" s="6" t="s">
        <v>55</v>
      </c>
      <c r="C208" s="6" t="s">
        <v>56</v>
      </c>
      <c r="D208" s="8" t="str">
        <f t="shared" si="3"/>
        <v>AMIT DUTTA</v>
      </c>
      <c r="E208" s="6" t="s">
        <v>57</v>
      </c>
      <c r="F208" s="6">
        <v>42</v>
      </c>
      <c r="G208" s="6" t="s">
        <v>52</v>
      </c>
      <c r="H208" s="6" t="s">
        <v>140</v>
      </c>
      <c r="I208" s="6" t="s">
        <v>693</v>
      </c>
      <c r="J208" s="6">
        <v>91944</v>
      </c>
      <c r="K208" s="6" t="s">
        <v>13</v>
      </c>
      <c r="L208" s="6" t="s">
        <v>694</v>
      </c>
      <c r="M208" s="6" t="s">
        <v>61</v>
      </c>
      <c r="N208" s="10" t="e">
        <f>VLOOKUP(G208,Departments!A207:C212,3,0)</f>
        <v>#N/A</v>
      </c>
      <c r="O208" s="13" t="e">
        <f>INDEX(Departments!C207:C212,MATCH(Employees!G208,Departments!A207:A212,0))</f>
        <v>#N/A</v>
      </c>
    </row>
    <row r="209" spans="1:15" x14ac:dyDescent="0.35">
      <c r="A209" s="7" t="s">
        <v>695</v>
      </c>
      <c r="B209" s="7" t="s">
        <v>104</v>
      </c>
      <c r="C209" s="7" t="s">
        <v>97</v>
      </c>
      <c r="D209" s="8" t="str">
        <f t="shared" si="3"/>
        <v>ANITA SINGH</v>
      </c>
      <c r="E209" s="7" t="s">
        <v>64</v>
      </c>
      <c r="F209" s="7">
        <v>33</v>
      </c>
      <c r="G209" s="7" t="s">
        <v>53</v>
      </c>
      <c r="H209" s="7" t="s">
        <v>76</v>
      </c>
      <c r="I209" s="7" t="s">
        <v>696</v>
      </c>
      <c r="J209" s="7">
        <v>115357</v>
      </c>
      <c r="K209" s="7" t="s">
        <v>30</v>
      </c>
      <c r="L209" s="7" t="s">
        <v>697</v>
      </c>
      <c r="M209" s="7" t="s">
        <v>73</v>
      </c>
      <c r="N209" s="10" t="e">
        <f>VLOOKUP(G209,Departments!A208:C213,3,0)</f>
        <v>#N/A</v>
      </c>
      <c r="O209" s="13" t="e">
        <f>INDEX(Departments!C208:C213,MATCH(Employees!G209,Departments!A208:A213,0))</f>
        <v>#N/A</v>
      </c>
    </row>
    <row r="210" spans="1:15" x14ac:dyDescent="0.35">
      <c r="A210" s="6" t="s">
        <v>698</v>
      </c>
      <c r="B210" s="6" t="s">
        <v>69</v>
      </c>
      <c r="C210" s="6" t="s">
        <v>56</v>
      </c>
      <c r="D210" s="8" t="str">
        <f t="shared" si="3"/>
        <v>ROHIT DUTTA</v>
      </c>
      <c r="E210" s="6" t="s">
        <v>57</v>
      </c>
      <c r="F210" s="6">
        <v>40</v>
      </c>
      <c r="G210" s="6" t="s">
        <v>49</v>
      </c>
      <c r="H210" s="6" t="s">
        <v>140</v>
      </c>
      <c r="I210" s="6" t="s">
        <v>665</v>
      </c>
      <c r="J210" s="6">
        <v>103876</v>
      </c>
      <c r="K210" s="6" t="s">
        <v>37</v>
      </c>
      <c r="L210" s="6" t="s">
        <v>699</v>
      </c>
      <c r="M210" s="6" t="s">
        <v>73</v>
      </c>
      <c r="N210" s="10" t="e">
        <f>VLOOKUP(G210,Departments!A209:C214,3,0)</f>
        <v>#N/A</v>
      </c>
      <c r="O210" s="13" t="e">
        <f>INDEX(Departments!C209:C214,MATCH(Employees!G210,Departments!A209:A214,0))</f>
        <v>#N/A</v>
      </c>
    </row>
    <row r="211" spans="1:15" x14ac:dyDescent="0.35">
      <c r="A211" s="7" t="s">
        <v>700</v>
      </c>
      <c r="B211" s="7" t="s">
        <v>75</v>
      </c>
      <c r="C211" s="7" t="s">
        <v>197</v>
      </c>
      <c r="D211" s="8" t="str">
        <f t="shared" si="3"/>
        <v>DAVID BROWN</v>
      </c>
      <c r="E211" s="7" t="s">
        <v>57</v>
      </c>
      <c r="F211" s="7">
        <v>42</v>
      </c>
      <c r="G211" s="7" t="s">
        <v>49</v>
      </c>
      <c r="H211" s="7" t="s">
        <v>140</v>
      </c>
      <c r="I211" s="7" t="s">
        <v>701</v>
      </c>
      <c r="J211" s="7">
        <v>106174</v>
      </c>
      <c r="K211" s="7" t="s">
        <v>28</v>
      </c>
      <c r="L211" s="7" t="s">
        <v>702</v>
      </c>
      <c r="M211" s="7" t="s">
        <v>61</v>
      </c>
      <c r="N211" s="10" t="e">
        <f>VLOOKUP(G211,Departments!A210:C215,3,0)</f>
        <v>#N/A</v>
      </c>
      <c r="O211" s="13" t="e">
        <f>INDEX(Departments!C210:C215,MATCH(Employees!G211,Departments!A210:A215,0))</f>
        <v>#N/A</v>
      </c>
    </row>
    <row r="212" spans="1:15" x14ac:dyDescent="0.35">
      <c r="A212" s="6" t="s">
        <v>703</v>
      </c>
      <c r="B212" s="6" t="s">
        <v>126</v>
      </c>
      <c r="C212" s="6" t="s">
        <v>81</v>
      </c>
      <c r="D212" s="8" t="str">
        <f t="shared" si="3"/>
        <v>PRIYA GHOSH</v>
      </c>
      <c r="E212" s="6" t="s">
        <v>57</v>
      </c>
      <c r="F212" s="6">
        <v>29</v>
      </c>
      <c r="G212" s="6" t="s">
        <v>52</v>
      </c>
      <c r="H212" s="6" t="s">
        <v>76</v>
      </c>
      <c r="I212" s="6" t="s">
        <v>704</v>
      </c>
      <c r="J212" s="6">
        <v>80612</v>
      </c>
      <c r="K212" s="6" t="s">
        <v>28</v>
      </c>
      <c r="L212" s="6" t="s">
        <v>705</v>
      </c>
      <c r="M212" s="6" t="s">
        <v>61</v>
      </c>
      <c r="N212" s="10" t="e">
        <f>VLOOKUP(G212,Departments!A211:C216,3,0)</f>
        <v>#N/A</v>
      </c>
      <c r="O212" s="13" t="e">
        <f>INDEX(Departments!C211:C216,MATCH(Employees!G212,Departments!A211:A216,0))</f>
        <v>#N/A</v>
      </c>
    </row>
    <row r="213" spans="1:15" x14ac:dyDescent="0.35">
      <c r="A213" s="7" t="s">
        <v>706</v>
      </c>
      <c r="B213" s="7" t="s">
        <v>175</v>
      </c>
      <c r="C213" s="7" t="s">
        <v>63</v>
      </c>
      <c r="D213" s="8" t="str">
        <f t="shared" si="3"/>
        <v>NEHA ROY</v>
      </c>
      <c r="E213" s="7" t="s">
        <v>57</v>
      </c>
      <c r="F213" s="7">
        <v>55</v>
      </c>
      <c r="G213" s="7" t="s">
        <v>52</v>
      </c>
      <c r="H213" s="7" t="s">
        <v>76</v>
      </c>
      <c r="I213" s="7" t="s">
        <v>707</v>
      </c>
      <c r="J213" s="7">
        <v>103478</v>
      </c>
      <c r="K213" s="7" t="s">
        <v>28</v>
      </c>
      <c r="L213" s="7" t="s">
        <v>708</v>
      </c>
      <c r="M213" s="7" t="s">
        <v>61</v>
      </c>
      <c r="N213" s="10" t="e">
        <f>VLOOKUP(G213,Departments!A212:C217,3,0)</f>
        <v>#N/A</v>
      </c>
      <c r="O213" s="13" t="e">
        <f>INDEX(Departments!C212:C217,MATCH(Employees!G213,Departments!A212:A217,0))</f>
        <v>#N/A</v>
      </c>
    </row>
    <row r="214" spans="1:15" x14ac:dyDescent="0.35">
      <c r="A214" s="6" t="s">
        <v>709</v>
      </c>
      <c r="B214" s="6" t="s">
        <v>69</v>
      </c>
      <c r="C214" s="6" t="s">
        <v>111</v>
      </c>
      <c r="D214" s="8" t="str">
        <f t="shared" si="3"/>
        <v>ROHIT KHAN</v>
      </c>
      <c r="E214" s="6" t="s">
        <v>57</v>
      </c>
      <c r="F214" s="6">
        <v>59</v>
      </c>
      <c r="G214" s="6" t="s">
        <v>49</v>
      </c>
      <c r="H214" s="6" t="s">
        <v>70</v>
      </c>
      <c r="I214" s="6" t="s">
        <v>710</v>
      </c>
      <c r="J214" s="6">
        <v>38205</v>
      </c>
      <c r="K214" s="6" t="s">
        <v>37</v>
      </c>
      <c r="L214" s="6" t="s">
        <v>711</v>
      </c>
      <c r="M214" s="6" t="s">
        <v>73</v>
      </c>
      <c r="N214" s="10" t="e">
        <f>VLOOKUP(G214,Departments!A213:C218,3,0)</f>
        <v>#N/A</v>
      </c>
      <c r="O214" s="13" t="e">
        <f>INDEX(Departments!C213:C218,MATCH(Employees!G214,Departments!A213:A218,0))</f>
        <v>#N/A</v>
      </c>
    </row>
    <row r="215" spans="1:15" x14ac:dyDescent="0.35">
      <c r="A215" s="7" t="s">
        <v>712</v>
      </c>
      <c r="B215" s="7" t="s">
        <v>85</v>
      </c>
      <c r="C215" s="7" t="s">
        <v>162</v>
      </c>
      <c r="D215" s="8" t="str">
        <f t="shared" si="3"/>
        <v>RAHUL DAS</v>
      </c>
      <c r="E215" s="7" t="s">
        <v>57</v>
      </c>
      <c r="F215" s="7">
        <v>46</v>
      </c>
      <c r="G215" s="7" t="s">
        <v>51</v>
      </c>
      <c r="H215" s="7" t="s">
        <v>140</v>
      </c>
      <c r="I215" s="7" t="s">
        <v>713</v>
      </c>
      <c r="J215" s="7">
        <v>53141</v>
      </c>
      <c r="K215" s="7" t="s">
        <v>18</v>
      </c>
      <c r="L215" s="7" t="s">
        <v>714</v>
      </c>
      <c r="M215" s="7" t="s">
        <v>73</v>
      </c>
      <c r="N215" s="10" t="e">
        <f>VLOOKUP(G215,Departments!A214:C219,3,0)</f>
        <v>#N/A</v>
      </c>
      <c r="O215" s="13" t="e">
        <f>INDEX(Departments!C214:C219,MATCH(Employees!G215,Departments!A214:A219,0))</f>
        <v>#N/A</v>
      </c>
    </row>
    <row r="216" spans="1:15" x14ac:dyDescent="0.35">
      <c r="A216" s="6" t="s">
        <v>715</v>
      </c>
      <c r="B216" s="6" t="s">
        <v>75</v>
      </c>
      <c r="C216" s="6" t="s">
        <v>97</v>
      </c>
      <c r="D216" s="8" t="str">
        <f t="shared" si="3"/>
        <v>DAVID SINGH</v>
      </c>
      <c r="E216" s="6" t="s">
        <v>64</v>
      </c>
      <c r="F216" s="6">
        <v>27</v>
      </c>
      <c r="G216" s="6" t="s">
        <v>51</v>
      </c>
      <c r="H216" s="6" t="s">
        <v>140</v>
      </c>
      <c r="I216" s="6" t="s">
        <v>716</v>
      </c>
      <c r="J216" s="6">
        <v>70180</v>
      </c>
      <c r="K216" s="6" t="s">
        <v>18</v>
      </c>
      <c r="L216" s="6" t="s">
        <v>717</v>
      </c>
      <c r="M216" s="6" t="s">
        <v>61</v>
      </c>
      <c r="N216" s="10" t="e">
        <f>VLOOKUP(G216,Departments!A215:C220,3,0)</f>
        <v>#N/A</v>
      </c>
      <c r="O216" s="13" t="e">
        <f>INDEX(Departments!C215:C220,MATCH(Employees!G216,Departments!A215:A220,0))</f>
        <v>#N/A</v>
      </c>
    </row>
    <row r="217" spans="1:15" x14ac:dyDescent="0.35">
      <c r="A217" s="7" t="s">
        <v>718</v>
      </c>
      <c r="B217" s="7" t="s">
        <v>75</v>
      </c>
      <c r="C217" s="7" t="s">
        <v>81</v>
      </c>
      <c r="D217" s="8" t="str">
        <f t="shared" si="3"/>
        <v>DAVID GHOSH</v>
      </c>
      <c r="E217" s="7" t="s">
        <v>57</v>
      </c>
      <c r="F217" s="7">
        <v>29</v>
      </c>
      <c r="G217" s="7" t="s">
        <v>50</v>
      </c>
      <c r="H217" s="7" t="s">
        <v>65</v>
      </c>
      <c r="I217" s="7" t="s">
        <v>719</v>
      </c>
      <c r="J217" s="7">
        <v>48946</v>
      </c>
      <c r="K217" s="7" t="s">
        <v>13</v>
      </c>
      <c r="L217" s="7" t="s">
        <v>720</v>
      </c>
      <c r="M217" s="7" t="s">
        <v>73</v>
      </c>
      <c r="N217" s="10" t="e">
        <f>VLOOKUP(G217,Departments!A216:C221,3,0)</f>
        <v>#N/A</v>
      </c>
      <c r="O217" s="13" t="e">
        <f>INDEX(Departments!C216:C221,MATCH(Employees!G217,Departments!A216:A221,0))</f>
        <v>#N/A</v>
      </c>
    </row>
    <row r="218" spans="1:15" x14ac:dyDescent="0.35">
      <c r="A218" s="6" t="s">
        <v>721</v>
      </c>
      <c r="B218" s="6" t="s">
        <v>126</v>
      </c>
      <c r="C218" s="6" t="s">
        <v>111</v>
      </c>
      <c r="D218" s="8" t="str">
        <f t="shared" si="3"/>
        <v>PRIYA KHAN</v>
      </c>
      <c r="E218" s="6" t="s">
        <v>64</v>
      </c>
      <c r="F218" s="6">
        <v>38</v>
      </c>
      <c r="G218" s="6" t="s">
        <v>52</v>
      </c>
      <c r="H218" s="6" t="s">
        <v>70</v>
      </c>
      <c r="I218" s="6" t="s">
        <v>210</v>
      </c>
      <c r="J218" s="6">
        <v>107342</v>
      </c>
      <c r="K218" s="6" t="s">
        <v>37</v>
      </c>
      <c r="L218" s="6" t="s">
        <v>722</v>
      </c>
      <c r="M218" s="6" t="s">
        <v>61</v>
      </c>
      <c r="N218" s="10" t="e">
        <f>VLOOKUP(G218,Departments!A217:C222,3,0)</f>
        <v>#N/A</v>
      </c>
      <c r="O218" s="13" t="e">
        <f>INDEX(Departments!C217:C222,MATCH(Employees!G218,Departments!A217:A222,0))</f>
        <v>#N/A</v>
      </c>
    </row>
    <row r="219" spans="1:15" x14ac:dyDescent="0.35">
      <c r="A219" s="7" t="s">
        <v>723</v>
      </c>
      <c r="B219" s="7" t="s">
        <v>69</v>
      </c>
      <c r="C219" s="7" t="s">
        <v>162</v>
      </c>
      <c r="D219" s="8" t="str">
        <f t="shared" si="3"/>
        <v>ROHIT DAS</v>
      </c>
      <c r="E219" s="7" t="s">
        <v>64</v>
      </c>
      <c r="F219" s="7">
        <v>58</v>
      </c>
      <c r="G219" s="7" t="s">
        <v>52</v>
      </c>
      <c r="H219" s="7" t="s">
        <v>140</v>
      </c>
      <c r="I219" s="7" t="s">
        <v>724</v>
      </c>
      <c r="J219" s="7">
        <v>45973</v>
      </c>
      <c r="K219" s="7" t="s">
        <v>28</v>
      </c>
      <c r="L219" s="7" t="s">
        <v>725</v>
      </c>
      <c r="M219" s="7" t="s">
        <v>73</v>
      </c>
      <c r="N219" s="10" t="e">
        <f>VLOOKUP(G219,Departments!A218:C223,3,0)</f>
        <v>#N/A</v>
      </c>
      <c r="O219" s="13" t="e">
        <f>INDEX(Departments!C218:C223,MATCH(Employees!G219,Departments!A218:A223,0))</f>
        <v>#N/A</v>
      </c>
    </row>
    <row r="220" spans="1:15" x14ac:dyDescent="0.35">
      <c r="A220" s="6" t="s">
        <v>726</v>
      </c>
      <c r="B220" s="6" t="s">
        <v>75</v>
      </c>
      <c r="C220" s="6" t="s">
        <v>115</v>
      </c>
      <c r="D220" s="8" t="str">
        <f t="shared" si="3"/>
        <v>DAVID SEN</v>
      </c>
      <c r="E220" s="6" t="s">
        <v>57</v>
      </c>
      <c r="F220" s="6">
        <v>26</v>
      </c>
      <c r="G220" s="6" t="s">
        <v>53</v>
      </c>
      <c r="H220" s="6" t="s">
        <v>65</v>
      </c>
      <c r="I220" s="6" t="s">
        <v>727</v>
      </c>
      <c r="J220" s="6">
        <v>49800</v>
      </c>
      <c r="K220" s="6" t="s">
        <v>13</v>
      </c>
      <c r="L220" s="6" t="s">
        <v>728</v>
      </c>
      <c r="M220" s="6" t="s">
        <v>73</v>
      </c>
      <c r="N220" s="10" t="e">
        <f>VLOOKUP(G220,Departments!A219:C224,3,0)</f>
        <v>#N/A</v>
      </c>
      <c r="O220" s="13" t="e">
        <f>INDEX(Departments!C219:C224,MATCH(Employees!G220,Departments!A219:A224,0))</f>
        <v>#N/A</v>
      </c>
    </row>
    <row r="221" spans="1:15" x14ac:dyDescent="0.35">
      <c r="A221" s="7" t="s">
        <v>729</v>
      </c>
      <c r="B221" s="7" t="s">
        <v>175</v>
      </c>
      <c r="C221" s="7" t="s">
        <v>63</v>
      </c>
      <c r="D221" s="8" t="str">
        <f t="shared" si="3"/>
        <v>NEHA ROY</v>
      </c>
      <c r="E221" s="7" t="s">
        <v>64</v>
      </c>
      <c r="F221" s="7">
        <v>25</v>
      </c>
      <c r="G221" s="7" t="s">
        <v>50</v>
      </c>
      <c r="H221" s="7" t="s">
        <v>70</v>
      </c>
      <c r="I221" s="7" t="s">
        <v>456</v>
      </c>
      <c r="J221" s="7">
        <v>39237</v>
      </c>
      <c r="K221" s="7" t="s">
        <v>18</v>
      </c>
      <c r="L221" s="7" t="s">
        <v>730</v>
      </c>
      <c r="M221" s="7" t="s">
        <v>73</v>
      </c>
      <c r="N221" s="10" t="e">
        <f>VLOOKUP(G221,Departments!A220:C225,3,0)</f>
        <v>#N/A</v>
      </c>
      <c r="O221" s="13" t="e">
        <f>INDEX(Departments!C220:C225,MATCH(Employees!G221,Departments!A220:A225,0))</f>
        <v>#N/A</v>
      </c>
    </row>
    <row r="222" spans="1:15" x14ac:dyDescent="0.35">
      <c r="A222" s="6" t="s">
        <v>731</v>
      </c>
      <c r="B222" s="6" t="s">
        <v>55</v>
      </c>
      <c r="C222" s="6" t="s">
        <v>122</v>
      </c>
      <c r="D222" s="8" t="str">
        <f t="shared" si="3"/>
        <v>AMIT PAUL</v>
      </c>
      <c r="E222" s="6" t="s">
        <v>57</v>
      </c>
      <c r="F222" s="6">
        <v>54</v>
      </c>
      <c r="G222" s="6" t="s">
        <v>53</v>
      </c>
      <c r="H222" s="6" t="s">
        <v>70</v>
      </c>
      <c r="I222" s="6" t="s">
        <v>650</v>
      </c>
      <c r="J222" s="6">
        <v>69777</v>
      </c>
      <c r="K222" s="6" t="s">
        <v>30</v>
      </c>
      <c r="L222" s="6" t="s">
        <v>732</v>
      </c>
      <c r="M222" s="6" t="s">
        <v>61</v>
      </c>
      <c r="N222" s="10" t="e">
        <f>VLOOKUP(G222,Departments!A221:C226,3,0)</f>
        <v>#N/A</v>
      </c>
      <c r="O222" s="13" t="e">
        <f>INDEX(Departments!C221:C226,MATCH(Employees!G222,Departments!A221:A226,0))</f>
        <v>#N/A</v>
      </c>
    </row>
    <row r="223" spans="1:15" x14ac:dyDescent="0.35">
      <c r="A223" s="7" t="s">
        <v>733</v>
      </c>
      <c r="B223" s="7" t="s">
        <v>55</v>
      </c>
      <c r="C223" s="7" t="s">
        <v>115</v>
      </c>
      <c r="D223" s="8" t="str">
        <f t="shared" si="3"/>
        <v>AMIT SEN</v>
      </c>
      <c r="E223" s="7" t="s">
        <v>64</v>
      </c>
      <c r="F223" s="7">
        <v>24</v>
      </c>
      <c r="G223" s="7" t="s">
        <v>50</v>
      </c>
      <c r="H223" s="7" t="s">
        <v>65</v>
      </c>
      <c r="I223" s="7" t="s">
        <v>734</v>
      </c>
      <c r="J223" s="7">
        <v>45012</v>
      </c>
      <c r="K223" s="7" t="s">
        <v>18</v>
      </c>
      <c r="L223" s="7" t="s">
        <v>735</v>
      </c>
      <c r="M223" s="7" t="s">
        <v>73</v>
      </c>
      <c r="N223" s="10" t="e">
        <f>VLOOKUP(G223,Departments!A222:C227,3,0)</f>
        <v>#N/A</v>
      </c>
      <c r="O223" s="13" t="e">
        <f>INDEX(Departments!C222:C227,MATCH(Employees!G223,Departments!A222:A227,0))</f>
        <v>#N/A</v>
      </c>
    </row>
    <row r="224" spans="1:15" x14ac:dyDescent="0.35">
      <c r="A224" s="6" t="s">
        <v>736</v>
      </c>
      <c r="B224" s="6" t="s">
        <v>93</v>
      </c>
      <c r="C224" s="6" t="s">
        <v>81</v>
      </c>
      <c r="D224" s="8" t="str">
        <f t="shared" si="3"/>
        <v>JOHN GHOSH</v>
      </c>
      <c r="E224" s="6" t="s">
        <v>64</v>
      </c>
      <c r="F224" s="6">
        <v>56</v>
      </c>
      <c r="G224" s="6" t="s">
        <v>50</v>
      </c>
      <c r="H224" s="6" t="s">
        <v>65</v>
      </c>
      <c r="I224" s="6" t="s">
        <v>737</v>
      </c>
      <c r="J224" s="6">
        <v>99157</v>
      </c>
      <c r="K224" s="6" t="s">
        <v>13</v>
      </c>
      <c r="L224" s="6" t="s">
        <v>738</v>
      </c>
      <c r="M224" s="6" t="s">
        <v>73</v>
      </c>
      <c r="N224" s="10" t="e">
        <f>VLOOKUP(G224,Departments!A223:C228,3,0)</f>
        <v>#N/A</v>
      </c>
      <c r="O224" s="13" t="e">
        <f>INDEX(Departments!C223:C228,MATCH(Employees!G224,Departments!A223:A228,0))</f>
        <v>#N/A</v>
      </c>
    </row>
    <row r="225" spans="1:15" x14ac:dyDescent="0.35">
      <c r="A225" s="7" t="s">
        <v>739</v>
      </c>
      <c r="B225" s="7" t="s">
        <v>93</v>
      </c>
      <c r="C225" s="7" t="s">
        <v>197</v>
      </c>
      <c r="D225" s="8" t="str">
        <f t="shared" si="3"/>
        <v>JOHN BROWN</v>
      </c>
      <c r="E225" s="7" t="s">
        <v>64</v>
      </c>
      <c r="F225" s="7">
        <v>42</v>
      </c>
      <c r="G225" s="7" t="s">
        <v>53</v>
      </c>
      <c r="H225" s="7" t="s">
        <v>76</v>
      </c>
      <c r="I225" s="7" t="s">
        <v>740</v>
      </c>
      <c r="J225" s="7">
        <v>81470</v>
      </c>
      <c r="K225" s="7" t="s">
        <v>18</v>
      </c>
      <c r="L225" s="7" t="s">
        <v>741</v>
      </c>
      <c r="M225" s="7" t="s">
        <v>61</v>
      </c>
      <c r="N225" s="10" t="e">
        <f>VLOOKUP(G225,Departments!A224:C229,3,0)</f>
        <v>#N/A</v>
      </c>
      <c r="O225" s="13" t="e">
        <f>INDEX(Departments!C224:C229,MATCH(Employees!G225,Departments!A224:A229,0))</f>
        <v>#N/A</v>
      </c>
    </row>
    <row r="226" spans="1:15" x14ac:dyDescent="0.35">
      <c r="A226" s="6" t="s">
        <v>742</v>
      </c>
      <c r="B226" s="6" t="s">
        <v>75</v>
      </c>
      <c r="C226" s="6" t="s">
        <v>115</v>
      </c>
      <c r="D226" s="8" t="str">
        <f t="shared" si="3"/>
        <v>DAVID SEN</v>
      </c>
      <c r="E226" s="6" t="s">
        <v>64</v>
      </c>
      <c r="F226" s="6">
        <v>23</v>
      </c>
      <c r="G226" s="6" t="s">
        <v>52</v>
      </c>
      <c r="H226" s="6" t="s">
        <v>76</v>
      </c>
      <c r="I226" s="6" t="s">
        <v>743</v>
      </c>
      <c r="J226" s="6">
        <v>98738</v>
      </c>
      <c r="K226" s="6" t="s">
        <v>28</v>
      </c>
      <c r="L226" s="6" t="s">
        <v>744</v>
      </c>
      <c r="M226" s="6" t="s">
        <v>73</v>
      </c>
      <c r="N226" s="10" t="e">
        <f>VLOOKUP(G226,Departments!A225:C230,3,0)</f>
        <v>#N/A</v>
      </c>
      <c r="O226" s="13" t="e">
        <f>INDEX(Departments!C225:C230,MATCH(Employees!G226,Departments!A225:A230,0))</f>
        <v>#N/A</v>
      </c>
    </row>
    <row r="227" spans="1:15" x14ac:dyDescent="0.35">
      <c r="A227" s="7" t="s">
        <v>745</v>
      </c>
      <c r="B227" s="7" t="s">
        <v>69</v>
      </c>
      <c r="C227" s="7" t="s">
        <v>81</v>
      </c>
      <c r="D227" s="8" t="str">
        <f t="shared" si="3"/>
        <v>ROHIT GHOSH</v>
      </c>
      <c r="E227" s="7" t="s">
        <v>57</v>
      </c>
      <c r="F227" s="7">
        <v>45</v>
      </c>
      <c r="G227" s="7" t="s">
        <v>51</v>
      </c>
      <c r="H227" s="7" t="s">
        <v>70</v>
      </c>
      <c r="I227" s="7" t="s">
        <v>746</v>
      </c>
      <c r="J227" s="7">
        <v>69768</v>
      </c>
      <c r="K227" s="7" t="s">
        <v>30</v>
      </c>
      <c r="L227" s="7" t="s">
        <v>747</v>
      </c>
      <c r="M227" s="7" t="s">
        <v>73</v>
      </c>
      <c r="N227" s="10" t="e">
        <f>VLOOKUP(G227,Departments!A226:C231,3,0)</f>
        <v>#N/A</v>
      </c>
      <c r="O227" s="13" t="e">
        <f>INDEX(Departments!C226:C231,MATCH(Employees!G227,Departments!A226:A231,0))</f>
        <v>#N/A</v>
      </c>
    </row>
    <row r="228" spans="1:15" x14ac:dyDescent="0.35">
      <c r="A228" s="6" t="s">
        <v>748</v>
      </c>
      <c r="B228" s="6" t="s">
        <v>126</v>
      </c>
      <c r="C228" s="6" t="s">
        <v>111</v>
      </c>
      <c r="D228" s="8" t="str">
        <f t="shared" si="3"/>
        <v>PRIYA KHAN</v>
      </c>
      <c r="E228" s="6" t="s">
        <v>64</v>
      </c>
      <c r="F228" s="6">
        <v>47</v>
      </c>
      <c r="G228" s="6" t="s">
        <v>53</v>
      </c>
      <c r="H228" s="6" t="s">
        <v>70</v>
      </c>
      <c r="I228" s="6" t="s">
        <v>749</v>
      </c>
      <c r="J228" s="6">
        <v>78816</v>
      </c>
      <c r="K228" s="6" t="s">
        <v>18</v>
      </c>
      <c r="L228" s="6" t="s">
        <v>750</v>
      </c>
      <c r="M228" s="6" t="s">
        <v>73</v>
      </c>
      <c r="N228" s="10" t="e">
        <f>VLOOKUP(G228,Departments!A227:C232,3,0)</f>
        <v>#N/A</v>
      </c>
      <c r="O228" s="13" t="e">
        <f>INDEX(Departments!C227:C232,MATCH(Employees!G228,Departments!A227:A232,0))</f>
        <v>#N/A</v>
      </c>
    </row>
    <row r="229" spans="1:15" x14ac:dyDescent="0.35">
      <c r="A229" s="7" t="s">
        <v>751</v>
      </c>
      <c r="B229" s="7" t="s">
        <v>175</v>
      </c>
      <c r="C229" s="7" t="s">
        <v>197</v>
      </c>
      <c r="D229" s="8" t="str">
        <f t="shared" si="3"/>
        <v>NEHA BROWN</v>
      </c>
      <c r="E229" s="7" t="s">
        <v>64</v>
      </c>
      <c r="F229" s="7">
        <v>30</v>
      </c>
      <c r="G229" s="7" t="s">
        <v>52</v>
      </c>
      <c r="H229" s="7" t="s">
        <v>140</v>
      </c>
      <c r="I229" s="7" t="s">
        <v>752</v>
      </c>
      <c r="J229" s="7">
        <v>39186</v>
      </c>
      <c r="K229" s="7" t="s">
        <v>30</v>
      </c>
      <c r="L229" s="7" t="s">
        <v>753</v>
      </c>
      <c r="M229" s="7" t="s">
        <v>61</v>
      </c>
      <c r="N229" s="10" t="e">
        <f>VLOOKUP(G229,Departments!A228:C233,3,0)</f>
        <v>#N/A</v>
      </c>
      <c r="O229" s="13" t="e">
        <f>INDEX(Departments!C228:C233,MATCH(Employees!G229,Departments!A228:A233,0))</f>
        <v>#N/A</v>
      </c>
    </row>
    <row r="230" spans="1:15" x14ac:dyDescent="0.35">
      <c r="A230" s="6" t="s">
        <v>754</v>
      </c>
      <c r="B230" s="6" t="s">
        <v>80</v>
      </c>
      <c r="C230" s="6" t="s">
        <v>197</v>
      </c>
      <c r="D230" s="8" t="str">
        <f t="shared" si="3"/>
        <v>JANE BROWN</v>
      </c>
      <c r="E230" s="6" t="s">
        <v>57</v>
      </c>
      <c r="F230" s="6">
        <v>57</v>
      </c>
      <c r="G230" s="6" t="s">
        <v>49</v>
      </c>
      <c r="H230" s="6" t="s">
        <v>76</v>
      </c>
      <c r="I230" s="6" t="s">
        <v>755</v>
      </c>
      <c r="J230" s="6">
        <v>90363</v>
      </c>
      <c r="K230" s="6" t="s">
        <v>13</v>
      </c>
      <c r="L230" s="6" t="s">
        <v>756</v>
      </c>
      <c r="M230" s="6" t="s">
        <v>73</v>
      </c>
      <c r="N230" s="10" t="e">
        <f>VLOOKUP(G230,Departments!A229:C234,3,0)</f>
        <v>#N/A</v>
      </c>
      <c r="O230" s="13" t="e">
        <f>INDEX(Departments!C229:C234,MATCH(Employees!G230,Departments!A229:A234,0))</f>
        <v>#N/A</v>
      </c>
    </row>
    <row r="231" spans="1:15" x14ac:dyDescent="0.35">
      <c r="A231" s="7" t="s">
        <v>757</v>
      </c>
      <c r="B231" s="7" t="s">
        <v>75</v>
      </c>
      <c r="C231" s="7" t="s">
        <v>111</v>
      </c>
      <c r="D231" s="8" t="str">
        <f t="shared" si="3"/>
        <v>DAVID KHAN</v>
      </c>
      <c r="E231" s="7" t="s">
        <v>57</v>
      </c>
      <c r="F231" s="7">
        <v>56</v>
      </c>
      <c r="G231" s="7" t="s">
        <v>49</v>
      </c>
      <c r="H231" s="7" t="s">
        <v>65</v>
      </c>
      <c r="I231" s="7" t="s">
        <v>758</v>
      </c>
      <c r="J231" s="7">
        <v>86374</v>
      </c>
      <c r="K231" s="7" t="s">
        <v>30</v>
      </c>
      <c r="L231" s="7" t="s">
        <v>759</v>
      </c>
      <c r="M231" s="7" t="s">
        <v>73</v>
      </c>
      <c r="N231" s="10" t="e">
        <f>VLOOKUP(G231,Departments!A230:C235,3,0)</f>
        <v>#N/A</v>
      </c>
      <c r="O231" s="13" t="e">
        <f>INDEX(Departments!C230:C235,MATCH(Employees!G231,Departments!A230:A235,0))</f>
        <v>#N/A</v>
      </c>
    </row>
    <row r="232" spans="1:15" x14ac:dyDescent="0.35">
      <c r="A232" s="6" t="s">
        <v>760</v>
      </c>
      <c r="B232" s="6" t="s">
        <v>126</v>
      </c>
      <c r="C232" s="6" t="s">
        <v>63</v>
      </c>
      <c r="D232" s="8" t="str">
        <f t="shared" si="3"/>
        <v>PRIYA ROY</v>
      </c>
      <c r="E232" s="6" t="s">
        <v>57</v>
      </c>
      <c r="F232" s="6">
        <v>28</v>
      </c>
      <c r="G232" s="6" t="s">
        <v>51</v>
      </c>
      <c r="H232" s="6" t="s">
        <v>140</v>
      </c>
      <c r="I232" s="6" t="s">
        <v>761</v>
      </c>
      <c r="J232" s="6">
        <v>51057</v>
      </c>
      <c r="K232" s="6" t="s">
        <v>18</v>
      </c>
      <c r="L232" s="6" t="s">
        <v>762</v>
      </c>
      <c r="M232" s="6" t="s">
        <v>61</v>
      </c>
      <c r="N232" s="10" t="e">
        <f>VLOOKUP(G232,Departments!A231:C236,3,0)</f>
        <v>#N/A</v>
      </c>
      <c r="O232" s="13" t="e">
        <f>INDEX(Departments!C231:C236,MATCH(Employees!G232,Departments!A231:A236,0))</f>
        <v>#N/A</v>
      </c>
    </row>
    <row r="233" spans="1:15" x14ac:dyDescent="0.35">
      <c r="A233" s="7" t="s">
        <v>763</v>
      </c>
      <c r="B233" s="7" t="s">
        <v>55</v>
      </c>
      <c r="C233" s="7" t="s">
        <v>115</v>
      </c>
      <c r="D233" s="8" t="str">
        <f t="shared" si="3"/>
        <v>AMIT SEN</v>
      </c>
      <c r="E233" s="7" t="s">
        <v>57</v>
      </c>
      <c r="F233" s="7">
        <v>55</v>
      </c>
      <c r="G233" s="7" t="s">
        <v>50</v>
      </c>
      <c r="H233" s="7" t="s">
        <v>58</v>
      </c>
      <c r="I233" s="7" t="s">
        <v>764</v>
      </c>
      <c r="J233" s="7">
        <v>94146</v>
      </c>
      <c r="K233" s="7" t="s">
        <v>13</v>
      </c>
      <c r="L233" s="7" t="s">
        <v>765</v>
      </c>
      <c r="M233" s="7" t="s">
        <v>73</v>
      </c>
      <c r="N233" s="10" t="e">
        <f>VLOOKUP(G233,Departments!A232:C237,3,0)</f>
        <v>#N/A</v>
      </c>
      <c r="O233" s="13" t="e">
        <f>INDEX(Departments!C232:C237,MATCH(Employees!G233,Departments!A232:A237,0))</f>
        <v>#N/A</v>
      </c>
    </row>
    <row r="234" spans="1:15" x14ac:dyDescent="0.35">
      <c r="A234" s="6" t="s">
        <v>766</v>
      </c>
      <c r="B234" s="6" t="s">
        <v>75</v>
      </c>
      <c r="C234" s="6" t="s">
        <v>56</v>
      </c>
      <c r="D234" s="8" t="str">
        <f t="shared" si="3"/>
        <v>DAVID DUTTA</v>
      </c>
      <c r="E234" s="6" t="s">
        <v>64</v>
      </c>
      <c r="F234" s="6">
        <v>33</v>
      </c>
      <c r="G234" s="6" t="s">
        <v>50</v>
      </c>
      <c r="H234" s="6" t="s">
        <v>140</v>
      </c>
      <c r="I234" s="6" t="s">
        <v>767</v>
      </c>
      <c r="J234" s="6">
        <v>102836</v>
      </c>
      <c r="K234" s="6" t="s">
        <v>13</v>
      </c>
      <c r="L234" s="6" t="s">
        <v>768</v>
      </c>
      <c r="M234" s="6" t="s">
        <v>61</v>
      </c>
      <c r="N234" s="10" t="e">
        <f>VLOOKUP(G234,Departments!A233:C238,3,0)</f>
        <v>#N/A</v>
      </c>
      <c r="O234" s="13" t="e">
        <f>INDEX(Departments!C233:C238,MATCH(Employees!G234,Departments!A233:A238,0))</f>
        <v>#N/A</v>
      </c>
    </row>
    <row r="235" spans="1:15" x14ac:dyDescent="0.35">
      <c r="A235" s="7" t="s">
        <v>769</v>
      </c>
      <c r="B235" s="7" t="s">
        <v>126</v>
      </c>
      <c r="C235" s="7" t="s">
        <v>63</v>
      </c>
      <c r="D235" s="8" t="str">
        <f t="shared" si="3"/>
        <v>PRIYA ROY</v>
      </c>
      <c r="E235" s="7" t="s">
        <v>64</v>
      </c>
      <c r="F235" s="7">
        <v>28</v>
      </c>
      <c r="G235" s="7" t="s">
        <v>50</v>
      </c>
      <c r="H235" s="7" t="s">
        <v>65</v>
      </c>
      <c r="I235" s="7" t="s">
        <v>770</v>
      </c>
      <c r="J235" s="7">
        <v>56052</v>
      </c>
      <c r="K235" s="7" t="s">
        <v>28</v>
      </c>
      <c r="L235" s="7" t="s">
        <v>771</v>
      </c>
      <c r="M235" s="7" t="s">
        <v>73</v>
      </c>
      <c r="N235" s="10" t="e">
        <f>VLOOKUP(G235,Departments!A234:C239,3,0)</f>
        <v>#N/A</v>
      </c>
      <c r="O235" s="13" t="e">
        <f>INDEX(Departments!C234:C239,MATCH(Employees!G235,Departments!A234:A239,0))</f>
        <v>#N/A</v>
      </c>
    </row>
    <row r="236" spans="1:15" x14ac:dyDescent="0.35">
      <c r="A236" s="6" t="s">
        <v>772</v>
      </c>
      <c r="B236" s="6" t="s">
        <v>80</v>
      </c>
      <c r="C236" s="6" t="s">
        <v>81</v>
      </c>
      <c r="D236" s="8" t="str">
        <f t="shared" si="3"/>
        <v>JANE GHOSH</v>
      </c>
      <c r="E236" s="6" t="s">
        <v>57</v>
      </c>
      <c r="F236" s="6">
        <v>56</v>
      </c>
      <c r="G236" s="6" t="s">
        <v>51</v>
      </c>
      <c r="H236" s="6" t="s">
        <v>140</v>
      </c>
      <c r="I236" s="6" t="s">
        <v>773</v>
      </c>
      <c r="J236" s="6">
        <v>106491</v>
      </c>
      <c r="K236" s="6" t="s">
        <v>30</v>
      </c>
      <c r="L236" s="6" t="s">
        <v>774</v>
      </c>
      <c r="M236" s="6" t="s">
        <v>73</v>
      </c>
      <c r="N236" s="10" t="e">
        <f>VLOOKUP(G236,Departments!A235:C240,3,0)</f>
        <v>#N/A</v>
      </c>
      <c r="O236" s="13" t="e">
        <f>INDEX(Departments!C235:C240,MATCH(Employees!G236,Departments!A235:A240,0))</f>
        <v>#N/A</v>
      </c>
    </row>
    <row r="237" spans="1:15" x14ac:dyDescent="0.35">
      <c r="A237" s="7" t="s">
        <v>775</v>
      </c>
      <c r="B237" s="7" t="s">
        <v>93</v>
      </c>
      <c r="C237" s="7" t="s">
        <v>197</v>
      </c>
      <c r="D237" s="8" t="str">
        <f t="shared" si="3"/>
        <v>JOHN BROWN</v>
      </c>
      <c r="E237" s="7" t="s">
        <v>64</v>
      </c>
      <c r="F237" s="7">
        <v>48</v>
      </c>
      <c r="G237" s="7" t="s">
        <v>52</v>
      </c>
      <c r="H237" s="7" t="s">
        <v>140</v>
      </c>
      <c r="I237" s="7" t="s">
        <v>776</v>
      </c>
      <c r="J237" s="7">
        <v>36633</v>
      </c>
      <c r="K237" s="7" t="s">
        <v>13</v>
      </c>
      <c r="L237" s="7" t="s">
        <v>777</v>
      </c>
      <c r="M237" s="7" t="s">
        <v>73</v>
      </c>
      <c r="N237" s="10" t="e">
        <f>VLOOKUP(G237,Departments!A236:C241,3,0)</f>
        <v>#N/A</v>
      </c>
      <c r="O237" s="13" t="e">
        <f>INDEX(Departments!C236:C241,MATCH(Employees!G237,Departments!A236:A241,0))</f>
        <v>#N/A</v>
      </c>
    </row>
    <row r="238" spans="1:15" x14ac:dyDescent="0.35">
      <c r="A238" s="6" t="s">
        <v>778</v>
      </c>
      <c r="B238" s="6" t="s">
        <v>69</v>
      </c>
      <c r="C238" s="6" t="s">
        <v>81</v>
      </c>
      <c r="D238" s="8" t="str">
        <f t="shared" si="3"/>
        <v>ROHIT GHOSH</v>
      </c>
      <c r="E238" s="6" t="s">
        <v>57</v>
      </c>
      <c r="F238" s="6">
        <v>50</v>
      </c>
      <c r="G238" s="6" t="s">
        <v>51</v>
      </c>
      <c r="H238" s="6" t="s">
        <v>65</v>
      </c>
      <c r="I238" s="6" t="s">
        <v>779</v>
      </c>
      <c r="J238" s="6">
        <v>109744</v>
      </c>
      <c r="K238" s="6" t="s">
        <v>30</v>
      </c>
      <c r="L238" s="6" t="s">
        <v>780</v>
      </c>
      <c r="M238" s="6" t="s">
        <v>73</v>
      </c>
      <c r="N238" s="10" t="e">
        <f>VLOOKUP(G238,Departments!A237:C242,3,0)</f>
        <v>#N/A</v>
      </c>
      <c r="O238" s="13" t="e">
        <f>INDEX(Departments!C237:C242,MATCH(Employees!G238,Departments!A237:A242,0))</f>
        <v>#N/A</v>
      </c>
    </row>
    <row r="239" spans="1:15" x14ac:dyDescent="0.35">
      <c r="A239" s="7" t="s">
        <v>781</v>
      </c>
      <c r="B239" s="7" t="s">
        <v>55</v>
      </c>
      <c r="C239" s="7" t="s">
        <v>197</v>
      </c>
      <c r="D239" s="8" t="str">
        <f t="shared" si="3"/>
        <v>AMIT BROWN</v>
      </c>
      <c r="E239" s="7" t="s">
        <v>57</v>
      </c>
      <c r="F239" s="7">
        <v>57</v>
      </c>
      <c r="G239" s="7" t="s">
        <v>52</v>
      </c>
      <c r="H239" s="7" t="s">
        <v>76</v>
      </c>
      <c r="I239" s="7" t="s">
        <v>782</v>
      </c>
      <c r="J239" s="7">
        <v>44217</v>
      </c>
      <c r="K239" s="7" t="s">
        <v>30</v>
      </c>
      <c r="L239" s="7" t="s">
        <v>783</v>
      </c>
      <c r="M239" s="7" t="s">
        <v>73</v>
      </c>
      <c r="N239" s="10" t="e">
        <f>VLOOKUP(G239,Departments!A238:C243,3,0)</f>
        <v>#N/A</v>
      </c>
      <c r="O239" s="13" t="e">
        <f>INDEX(Departments!C238:C243,MATCH(Employees!G239,Departments!A238:A243,0))</f>
        <v>#N/A</v>
      </c>
    </row>
    <row r="240" spans="1:15" x14ac:dyDescent="0.35">
      <c r="A240" s="6" t="s">
        <v>784</v>
      </c>
      <c r="B240" s="6" t="s">
        <v>175</v>
      </c>
      <c r="C240" s="6" t="s">
        <v>122</v>
      </c>
      <c r="D240" s="8" t="str">
        <f t="shared" si="3"/>
        <v>NEHA PAUL</v>
      </c>
      <c r="E240" s="6" t="s">
        <v>64</v>
      </c>
      <c r="F240" s="6">
        <v>28</v>
      </c>
      <c r="G240" s="6" t="s">
        <v>50</v>
      </c>
      <c r="H240" s="6" t="s">
        <v>58</v>
      </c>
      <c r="I240" s="6" t="s">
        <v>785</v>
      </c>
      <c r="J240" s="6">
        <v>40758</v>
      </c>
      <c r="K240" s="6" t="s">
        <v>37</v>
      </c>
      <c r="L240" s="6" t="s">
        <v>786</v>
      </c>
      <c r="M240" s="6" t="s">
        <v>61</v>
      </c>
      <c r="N240" s="10" t="e">
        <f>VLOOKUP(G240,Departments!A239:C244,3,0)</f>
        <v>#N/A</v>
      </c>
      <c r="O240" s="13" t="e">
        <f>INDEX(Departments!C239:C244,MATCH(Employees!G240,Departments!A239:A244,0))</f>
        <v>#N/A</v>
      </c>
    </row>
    <row r="241" spans="1:15" x14ac:dyDescent="0.35">
      <c r="A241" s="7" t="s">
        <v>787</v>
      </c>
      <c r="B241" s="7" t="s">
        <v>69</v>
      </c>
      <c r="C241" s="7" t="s">
        <v>127</v>
      </c>
      <c r="D241" s="8" t="str">
        <f t="shared" si="3"/>
        <v>ROHIT SMITH</v>
      </c>
      <c r="E241" s="7" t="s">
        <v>57</v>
      </c>
      <c r="F241" s="7">
        <v>59</v>
      </c>
      <c r="G241" s="7" t="s">
        <v>50</v>
      </c>
      <c r="H241" s="7" t="s">
        <v>76</v>
      </c>
      <c r="I241" s="7" t="s">
        <v>788</v>
      </c>
      <c r="J241" s="7">
        <v>49878</v>
      </c>
      <c r="K241" s="7" t="s">
        <v>28</v>
      </c>
      <c r="L241" s="7" t="s">
        <v>789</v>
      </c>
      <c r="M241" s="7" t="s">
        <v>61</v>
      </c>
      <c r="N241" s="10" t="e">
        <f>VLOOKUP(G241,Departments!A240:C245,3,0)</f>
        <v>#N/A</v>
      </c>
      <c r="O241" s="13" t="e">
        <f>INDEX(Departments!C240:C245,MATCH(Employees!G241,Departments!A240:A245,0))</f>
        <v>#N/A</v>
      </c>
    </row>
    <row r="242" spans="1:15" x14ac:dyDescent="0.35">
      <c r="A242" s="6" t="s">
        <v>790</v>
      </c>
      <c r="B242" s="6" t="s">
        <v>89</v>
      </c>
      <c r="C242" s="6" t="s">
        <v>162</v>
      </c>
      <c r="D242" s="8" t="str">
        <f t="shared" si="3"/>
        <v>SARA DAS</v>
      </c>
      <c r="E242" s="6" t="s">
        <v>57</v>
      </c>
      <c r="F242" s="6">
        <v>48</v>
      </c>
      <c r="G242" s="6" t="s">
        <v>52</v>
      </c>
      <c r="H242" s="6" t="s">
        <v>140</v>
      </c>
      <c r="I242" s="6" t="s">
        <v>791</v>
      </c>
      <c r="J242" s="6">
        <v>95831</v>
      </c>
      <c r="K242" s="6" t="s">
        <v>13</v>
      </c>
      <c r="L242" s="6" t="s">
        <v>792</v>
      </c>
      <c r="M242" s="6" t="s">
        <v>73</v>
      </c>
      <c r="N242" s="10" t="e">
        <f>VLOOKUP(G242,Departments!A241:C246,3,0)</f>
        <v>#N/A</v>
      </c>
      <c r="O242" s="13" t="e">
        <f>INDEX(Departments!C241:C246,MATCH(Employees!G242,Departments!A241:A246,0))</f>
        <v>#N/A</v>
      </c>
    </row>
    <row r="243" spans="1:15" x14ac:dyDescent="0.35">
      <c r="A243" s="7" t="s">
        <v>793</v>
      </c>
      <c r="B243" s="7" t="s">
        <v>126</v>
      </c>
      <c r="C243" s="7" t="s">
        <v>56</v>
      </c>
      <c r="D243" s="8" t="str">
        <f t="shared" si="3"/>
        <v>PRIYA DUTTA</v>
      </c>
      <c r="E243" s="7" t="s">
        <v>57</v>
      </c>
      <c r="F243" s="7">
        <v>22</v>
      </c>
      <c r="G243" s="7" t="s">
        <v>51</v>
      </c>
      <c r="H243" s="7" t="s">
        <v>65</v>
      </c>
      <c r="I243" s="7" t="s">
        <v>794</v>
      </c>
      <c r="J243" s="7">
        <v>106015</v>
      </c>
      <c r="K243" s="7" t="s">
        <v>30</v>
      </c>
      <c r="L243" s="7" t="s">
        <v>795</v>
      </c>
      <c r="M243" s="7" t="s">
        <v>61</v>
      </c>
      <c r="N243" s="10" t="e">
        <f>VLOOKUP(G243,Departments!A242:C247,3,0)</f>
        <v>#N/A</v>
      </c>
      <c r="O243" s="13" t="e">
        <f>INDEX(Departments!C242:C247,MATCH(Employees!G243,Departments!A242:A247,0))</f>
        <v>#N/A</v>
      </c>
    </row>
    <row r="244" spans="1:15" x14ac:dyDescent="0.35">
      <c r="A244" s="6" t="s">
        <v>796</v>
      </c>
      <c r="B244" s="6" t="s">
        <v>75</v>
      </c>
      <c r="C244" s="6" t="s">
        <v>81</v>
      </c>
      <c r="D244" s="8" t="str">
        <f t="shared" si="3"/>
        <v>DAVID GHOSH</v>
      </c>
      <c r="E244" s="6" t="s">
        <v>57</v>
      </c>
      <c r="F244" s="6">
        <v>28</v>
      </c>
      <c r="G244" s="6" t="s">
        <v>49</v>
      </c>
      <c r="H244" s="6" t="s">
        <v>58</v>
      </c>
      <c r="I244" s="6" t="s">
        <v>797</v>
      </c>
      <c r="J244" s="6">
        <v>100388</v>
      </c>
      <c r="K244" s="6" t="s">
        <v>37</v>
      </c>
      <c r="L244" s="6" t="s">
        <v>798</v>
      </c>
      <c r="M244" s="6" t="s">
        <v>61</v>
      </c>
      <c r="N244" s="10" t="e">
        <f>VLOOKUP(G244,Departments!A243:C248,3,0)</f>
        <v>#N/A</v>
      </c>
      <c r="O244" s="13" t="e">
        <f>INDEX(Departments!C243:C248,MATCH(Employees!G244,Departments!A243:A248,0))</f>
        <v>#N/A</v>
      </c>
    </row>
    <row r="245" spans="1:15" x14ac:dyDescent="0.35">
      <c r="A245" s="7" t="s">
        <v>799</v>
      </c>
      <c r="B245" s="7" t="s">
        <v>69</v>
      </c>
      <c r="C245" s="7" t="s">
        <v>122</v>
      </c>
      <c r="D245" s="8" t="str">
        <f t="shared" si="3"/>
        <v>ROHIT PAUL</v>
      </c>
      <c r="E245" s="7" t="s">
        <v>64</v>
      </c>
      <c r="F245" s="7">
        <v>47</v>
      </c>
      <c r="G245" s="7" t="s">
        <v>53</v>
      </c>
      <c r="H245" s="7" t="s">
        <v>65</v>
      </c>
      <c r="I245" s="7" t="s">
        <v>198</v>
      </c>
      <c r="J245" s="7">
        <v>60932</v>
      </c>
      <c r="K245" s="7" t="s">
        <v>37</v>
      </c>
      <c r="L245" s="7" t="s">
        <v>800</v>
      </c>
      <c r="M245" s="7" t="s">
        <v>73</v>
      </c>
      <c r="N245" s="10" t="e">
        <f>VLOOKUP(G245,Departments!A244:C249,3,0)</f>
        <v>#N/A</v>
      </c>
      <c r="O245" s="13" t="e">
        <f>INDEX(Departments!C244:C249,MATCH(Employees!G245,Departments!A244:A249,0))</f>
        <v>#N/A</v>
      </c>
    </row>
    <row r="246" spans="1:15" x14ac:dyDescent="0.35">
      <c r="A246" s="6" t="s">
        <v>801</v>
      </c>
      <c r="B246" s="6" t="s">
        <v>85</v>
      </c>
      <c r="C246" s="6" t="s">
        <v>115</v>
      </c>
      <c r="D246" s="8" t="str">
        <f t="shared" si="3"/>
        <v>RAHUL SEN</v>
      </c>
      <c r="E246" s="6" t="s">
        <v>57</v>
      </c>
      <c r="F246" s="6">
        <v>36</v>
      </c>
      <c r="G246" s="6" t="s">
        <v>53</v>
      </c>
      <c r="H246" s="6" t="s">
        <v>70</v>
      </c>
      <c r="I246" s="6" t="s">
        <v>468</v>
      </c>
      <c r="J246" s="6">
        <v>107818</v>
      </c>
      <c r="K246" s="6" t="s">
        <v>18</v>
      </c>
      <c r="L246" s="6" t="s">
        <v>802</v>
      </c>
      <c r="M246" s="6" t="s">
        <v>61</v>
      </c>
      <c r="N246" s="10" t="e">
        <f>VLOOKUP(G246,Departments!A245:C250,3,0)</f>
        <v>#N/A</v>
      </c>
      <c r="O246" s="13" t="e">
        <f>INDEX(Departments!C245:C250,MATCH(Employees!G246,Departments!A245:A250,0))</f>
        <v>#N/A</v>
      </c>
    </row>
    <row r="247" spans="1:15" x14ac:dyDescent="0.35">
      <c r="A247" s="7" t="s">
        <v>803</v>
      </c>
      <c r="B247" s="7" t="s">
        <v>55</v>
      </c>
      <c r="C247" s="7" t="s">
        <v>81</v>
      </c>
      <c r="D247" s="8" t="str">
        <f t="shared" si="3"/>
        <v>AMIT GHOSH</v>
      </c>
      <c r="E247" s="7" t="s">
        <v>64</v>
      </c>
      <c r="F247" s="7">
        <v>49</v>
      </c>
      <c r="G247" s="7" t="s">
        <v>50</v>
      </c>
      <c r="H247" s="7" t="s">
        <v>70</v>
      </c>
      <c r="I247" s="7" t="s">
        <v>804</v>
      </c>
      <c r="J247" s="7">
        <v>95198</v>
      </c>
      <c r="K247" s="7" t="s">
        <v>18</v>
      </c>
      <c r="L247" s="7" t="s">
        <v>805</v>
      </c>
      <c r="M247" s="7" t="s">
        <v>61</v>
      </c>
      <c r="N247" s="10" t="e">
        <f>VLOOKUP(G247,Departments!A246:C251,3,0)</f>
        <v>#N/A</v>
      </c>
      <c r="O247" s="13" t="e">
        <f>INDEX(Departments!C246:C251,MATCH(Employees!G247,Departments!A246:A251,0))</f>
        <v>#N/A</v>
      </c>
    </row>
    <row r="248" spans="1:15" x14ac:dyDescent="0.35">
      <c r="A248" s="6" t="s">
        <v>806</v>
      </c>
      <c r="B248" s="6" t="s">
        <v>175</v>
      </c>
      <c r="C248" s="6" t="s">
        <v>162</v>
      </c>
      <c r="D248" s="8" t="str">
        <f t="shared" si="3"/>
        <v>NEHA DAS</v>
      </c>
      <c r="E248" s="6" t="s">
        <v>57</v>
      </c>
      <c r="F248" s="6">
        <v>43</v>
      </c>
      <c r="G248" s="6" t="s">
        <v>51</v>
      </c>
      <c r="H248" s="6" t="s">
        <v>76</v>
      </c>
      <c r="I248" s="6" t="s">
        <v>807</v>
      </c>
      <c r="J248" s="6">
        <v>42635</v>
      </c>
      <c r="K248" s="6" t="s">
        <v>30</v>
      </c>
      <c r="L248" s="6" t="s">
        <v>808</v>
      </c>
      <c r="M248" s="6" t="s">
        <v>61</v>
      </c>
      <c r="N248" s="10" t="e">
        <f>VLOOKUP(G248,Departments!A247:C252,3,0)</f>
        <v>#N/A</v>
      </c>
      <c r="O248" s="13" t="e">
        <f>INDEX(Departments!C247:C252,MATCH(Employees!G248,Departments!A247:A252,0))</f>
        <v>#N/A</v>
      </c>
    </row>
    <row r="249" spans="1:15" x14ac:dyDescent="0.35">
      <c r="A249" s="7" t="s">
        <v>809</v>
      </c>
      <c r="B249" s="7" t="s">
        <v>80</v>
      </c>
      <c r="C249" s="7" t="s">
        <v>56</v>
      </c>
      <c r="D249" s="8" t="str">
        <f t="shared" si="3"/>
        <v>JANE DUTTA</v>
      </c>
      <c r="E249" s="7" t="s">
        <v>57</v>
      </c>
      <c r="F249" s="7">
        <v>48</v>
      </c>
      <c r="G249" s="7" t="s">
        <v>49</v>
      </c>
      <c r="H249" s="7" t="s">
        <v>70</v>
      </c>
      <c r="I249" s="7" t="s">
        <v>810</v>
      </c>
      <c r="J249" s="7">
        <v>48738</v>
      </c>
      <c r="K249" s="7" t="s">
        <v>13</v>
      </c>
      <c r="L249" s="7" t="s">
        <v>811</v>
      </c>
      <c r="M249" s="7" t="s">
        <v>61</v>
      </c>
      <c r="N249" s="10" t="e">
        <f>VLOOKUP(G249,Departments!A248:C253,3,0)</f>
        <v>#N/A</v>
      </c>
      <c r="O249" s="13" t="e">
        <f>INDEX(Departments!C248:C253,MATCH(Employees!G249,Departments!A248:A253,0))</f>
        <v>#N/A</v>
      </c>
    </row>
    <row r="250" spans="1:15" x14ac:dyDescent="0.35">
      <c r="A250" s="6" t="s">
        <v>812</v>
      </c>
      <c r="B250" s="6" t="s">
        <v>80</v>
      </c>
      <c r="C250" s="6" t="s">
        <v>97</v>
      </c>
      <c r="D250" s="8" t="str">
        <f t="shared" si="3"/>
        <v>JANE SINGH</v>
      </c>
      <c r="E250" s="6" t="s">
        <v>57</v>
      </c>
      <c r="F250" s="6">
        <v>23</v>
      </c>
      <c r="G250" s="6" t="s">
        <v>49</v>
      </c>
      <c r="H250" s="6" t="s">
        <v>58</v>
      </c>
      <c r="I250" s="6" t="s">
        <v>397</v>
      </c>
      <c r="J250" s="6">
        <v>64435</v>
      </c>
      <c r="K250" s="6" t="s">
        <v>37</v>
      </c>
      <c r="L250" s="6" t="s">
        <v>813</v>
      </c>
      <c r="M250" s="6" t="s">
        <v>61</v>
      </c>
      <c r="N250" s="10" t="e">
        <f>VLOOKUP(G250,Departments!A249:C254,3,0)</f>
        <v>#N/A</v>
      </c>
      <c r="O250" s="13" t="e">
        <f>INDEX(Departments!C249:C254,MATCH(Employees!G250,Departments!A249:A254,0))</f>
        <v>#N/A</v>
      </c>
    </row>
    <row r="251" spans="1:15" x14ac:dyDescent="0.35">
      <c r="A251" s="7" t="s">
        <v>814</v>
      </c>
      <c r="B251" s="7" t="s">
        <v>104</v>
      </c>
      <c r="C251" s="7" t="s">
        <v>63</v>
      </c>
      <c r="D251" s="8" t="str">
        <f t="shared" si="3"/>
        <v>ANITA ROY</v>
      </c>
      <c r="E251" s="7" t="s">
        <v>64</v>
      </c>
      <c r="F251" s="7">
        <v>55</v>
      </c>
      <c r="G251" s="7" t="s">
        <v>49</v>
      </c>
      <c r="H251" s="7" t="s">
        <v>58</v>
      </c>
      <c r="I251" s="7" t="s">
        <v>815</v>
      </c>
      <c r="J251" s="7">
        <v>116007</v>
      </c>
      <c r="K251" s="7" t="s">
        <v>28</v>
      </c>
      <c r="L251" s="7" t="s">
        <v>816</v>
      </c>
      <c r="M251" s="7" t="s">
        <v>61</v>
      </c>
      <c r="N251" s="10" t="e">
        <f>VLOOKUP(G251,Departments!A250:C255,3,0)</f>
        <v>#N/A</v>
      </c>
      <c r="O251" s="13" t="e">
        <f>INDEX(Departments!C250:C255,MATCH(Employees!G251,Departments!A250:A255,0))</f>
        <v>#N/A</v>
      </c>
    </row>
    <row r="252" spans="1:15" x14ac:dyDescent="0.35">
      <c r="A252" s="6" t="s">
        <v>817</v>
      </c>
      <c r="B252" s="6" t="s">
        <v>85</v>
      </c>
      <c r="C252" s="6" t="s">
        <v>122</v>
      </c>
      <c r="D252" s="8" t="str">
        <f t="shared" si="3"/>
        <v>RAHUL PAUL</v>
      </c>
      <c r="E252" s="6" t="s">
        <v>64</v>
      </c>
      <c r="F252" s="6">
        <v>38</v>
      </c>
      <c r="G252" s="6" t="s">
        <v>51</v>
      </c>
      <c r="H252" s="6" t="s">
        <v>65</v>
      </c>
      <c r="I252" s="6" t="s">
        <v>818</v>
      </c>
      <c r="J252" s="6">
        <v>60256</v>
      </c>
      <c r="K252" s="6" t="s">
        <v>13</v>
      </c>
      <c r="L252" s="6" t="s">
        <v>819</v>
      </c>
      <c r="M252" s="6" t="s">
        <v>61</v>
      </c>
      <c r="N252" s="10" t="e">
        <f>VLOOKUP(G252,Departments!A251:C256,3,0)</f>
        <v>#N/A</v>
      </c>
      <c r="O252" s="13" t="e">
        <f>INDEX(Departments!C251:C256,MATCH(Employees!G252,Departments!A251:A256,0))</f>
        <v>#N/A</v>
      </c>
    </row>
    <row r="253" spans="1:15" x14ac:dyDescent="0.35">
      <c r="A253" s="7" t="s">
        <v>820</v>
      </c>
      <c r="B253" s="7" t="s">
        <v>89</v>
      </c>
      <c r="C253" s="7" t="s">
        <v>197</v>
      </c>
      <c r="D253" s="8" t="str">
        <f t="shared" si="3"/>
        <v>SARA BROWN</v>
      </c>
      <c r="E253" s="7" t="s">
        <v>57</v>
      </c>
      <c r="F253" s="7">
        <v>52</v>
      </c>
      <c r="G253" s="7" t="s">
        <v>52</v>
      </c>
      <c r="H253" s="7" t="s">
        <v>76</v>
      </c>
      <c r="I253" s="7" t="s">
        <v>156</v>
      </c>
      <c r="J253" s="7">
        <v>79852</v>
      </c>
      <c r="K253" s="7" t="s">
        <v>18</v>
      </c>
      <c r="L253" s="7" t="s">
        <v>821</v>
      </c>
      <c r="M253" s="7" t="s">
        <v>73</v>
      </c>
      <c r="N253" s="10" t="e">
        <f>VLOOKUP(G253,Departments!A252:C257,3,0)</f>
        <v>#N/A</v>
      </c>
      <c r="O253" s="13" t="e">
        <f>INDEX(Departments!C252:C257,MATCH(Employees!G253,Departments!A252:A257,0))</f>
        <v>#N/A</v>
      </c>
    </row>
    <row r="254" spans="1:15" x14ac:dyDescent="0.35">
      <c r="A254" s="6" t="s">
        <v>822</v>
      </c>
      <c r="B254" s="6" t="s">
        <v>75</v>
      </c>
      <c r="C254" s="6" t="s">
        <v>127</v>
      </c>
      <c r="D254" s="8" t="str">
        <f t="shared" si="3"/>
        <v>DAVID SMITH</v>
      </c>
      <c r="E254" s="6" t="s">
        <v>64</v>
      </c>
      <c r="F254" s="6">
        <v>25</v>
      </c>
      <c r="G254" s="6" t="s">
        <v>53</v>
      </c>
      <c r="H254" s="6" t="s">
        <v>65</v>
      </c>
      <c r="I254" s="6" t="s">
        <v>823</v>
      </c>
      <c r="J254" s="6">
        <v>94875</v>
      </c>
      <c r="K254" s="6" t="s">
        <v>13</v>
      </c>
      <c r="L254" s="6" t="s">
        <v>824</v>
      </c>
      <c r="M254" s="6" t="s">
        <v>61</v>
      </c>
      <c r="N254" s="10" t="e">
        <f>VLOOKUP(G254,Departments!A253:C258,3,0)</f>
        <v>#N/A</v>
      </c>
      <c r="O254" s="13" t="e">
        <f>INDEX(Departments!C253:C258,MATCH(Employees!G254,Departments!A253:A258,0))</f>
        <v>#N/A</v>
      </c>
    </row>
    <row r="255" spans="1:15" x14ac:dyDescent="0.35">
      <c r="A255" s="7" t="s">
        <v>825</v>
      </c>
      <c r="B255" s="7" t="s">
        <v>75</v>
      </c>
      <c r="C255" s="7" t="s">
        <v>81</v>
      </c>
      <c r="D255" s="8" t="str">
        <f t="shared" si="3"/>
        <v>DAVID GHOSH</v>
      </c>
      <c r="E255" s="7" t="s">
        <v>57</v>
      </c>
      <c r="F255" s="7">
        <v>42</v>
      </c>
      <c r="G255" s="7" t="s">
        <v>51</v>
      </c>
      <c r="H255" s="7" t="s">
        <v>70</v>
      </c>
      <c r="I255" s="7" t="s">
        <v>826</v>
      </c>
      <c r="J255" s="7">
        <v>43197</v>
      </c>
      <c r="K255" s="7" t="s">
        <v>30</v>
      </c>
      <c r="L255" s="7" t="s">
        <v>827</v>
      </c>
      <c r="M255" s="7" t="s">
        <v>73</v>
      </c>
      <c r="N255" s="10" t="e">
        <f>VLOOKUP(G255,Departments!A254:C259,3,0)</f>
        <v>#N/A</v>
      </c>
      <c r="O255" s="13" t="e">
        <f>INDEX(Departments!C254:C259,MATCH(Employees!G255,Departments!A254:A259,0))</f>
        <v>#N/A</v>
      </c>
    </row>
    <row r="256" spans="1:15" x14ac:dyDescent="0.35">
      <c r="A256" s="6" t="s">
        <v>828</v>
      </c>
      <c r="B256" s="6" t="s">
        <v>85</v>
      </c>
      <c r="C256" s="6" t="s">
        <v>122</v>
      </c>
      <c r="D256" s="8" t="str">
        <f t="shared" si="3"/>
        <v>RAHUL PAUL</v>
      </c>
      <c r="E256" s="6" t="s">
        <v>64</v>
      </c>
      <c r="F256" s="6">
        <v>32</v>
      </c>
      <c r="G256" s="6" t="s">
        <v>50</v>
      </c>
      <c r="H256" s="6" t="s">
        <v>76</v>
      </c>
      <c r="I256" s="6" t="s">
        <v>829</v>
      </c>
      <c r="J256" s="6">
        <v>117451</v>
      </c>
      <c r="K256" s="6" t="s">
        <v>28</v>
      </c>
      <c r="L256" s="6" t="s">
        <v>830</v>
      </c>
      <c r="M256" s="6" t="s">
        <v>61</v>
      </c>
      <c r="N256" s="10" t="e">
        <f>VLOOKUP(G256,Departments!A255:C260,3,0)</f>
        <v>#N/A</v>
      </c>
      <c r="O256" s="13" t="e">
        <f>INDEX(Departments!C255:C260,MATCH(Employees!G256,Departments!A255:A260,0))</f>
        <v>#N/A</v>
      </c>
    </row>
    <row r="257" spans="1:15" x14ac:dyDescent="0.35">
      <c r="A257" s="7" t="s">
        <v>831</v>
      </c>
      <c r="B257" s="7" t="s">
        <v>175</v>
      </c>
      <c r="C257" s="7" t="s">
        <v>162</v>
      </c>
      <c r="D257" s="8" t="str">
        <f t="shared" si="3"/>
        <v>NEHA DAS</v>
      </c>
      <c r="E257" s="7" t="s">
        <v>64</v>
      </c>
      <c r="F257" s="7">
        <v>28</v>
      </c>
      <c r="G257" s="7" t="s">
        <v>53</v>
      </c>
      <c r="H257" s="7" t="s">
        <v>76</v>
      </c>
      <c r="I257" s="7" t="s">
        <v>832</v>
      </c>
      <c r="J257" s="7">
        <v>54493</v>
      </c>
      <c r="K257" s="7" t="s">
        <v>28</v>
      </c>
      <c r="L257" s="7" t="s">
        <v>833</v>
      </c>
      <c r="M257" s="7" t="s">
        <v>61</v>
      </c>
      <c r="N257" s="10" t="e">
        <f>VLOOKUP(G257,Departments!A256:C261,3,0)</f>
        <v>#N/A</v>
      </c>
      <c r="O257" s="13" t="e">
        <f>INDEX(Departments!C256:C261,MATCH(Employees!G257,Departments!A256:A261,0))</f>
        <v>#N/A</v>
      </c>
    </row>
    <row r="258" spans="1:15" x14ac:dyDescent="0.35">
      <c r="A258" s="6" t="s">
        <v>834</v>
      </c>
      <c r="B258" s="6" t="s">
        <v>175</v>
      </c>
      <c r="C258" s="6" t="s">
        <v>111</v>
      </c>
      <c r="D258" s="8" t="str">
        <f t="shared" si="3"/>
        <v>NEHA KHAN</v>
      </c>
      <c r="E258" s="6" t="s">
        <v>57</v>
      </c>
      <c r="F258" s="6">
        <v>55</v>
      </c>
      <c r="G258" s="6" t="s">
        <v>53</v>
      </c>
      <c r="H258" s="6" t="s">
        <v>70</v>
      </c>
      <c r="I258" s="6" t="s">
        <v>835</v>
      </c>
      <c r="J258" s="6">
        <v>68822</v>
      </c>
      <c r="K258" s="6" t="s">
        <v>18</v>
      </c>
      <c r="L258" s="6" t="s">
        <v>836</v>
      </c>
      <c r="M258" s="6" t="s">
        <v>73</v>
      </c>
      <c r="N258" s="10" t="e">
        <f>VLOOKUP(G258,Departments!A257:C262,3,0)</f>
        <v>#N/A</v>
      </c>
      <c r="O258" s="13" t="e">
        <f>INDEX(Departments!C257:C262,MATCH(Employees!G258,Departments!A257:A262,0))</f>
        <v>#N/A</v>
      </c>
    </row>
    <row r="259" spans="1:15" x14ac:dyDescent="0.35">
      <c r="A259" s="7" t="s">
        <v>837</v>
      </c>
      <c r="B259" s="7" t="s">
        <v>80</v>
      </c>
      <c r="C259" s="7" t="s">
        <v>127</v>
      </c>
      <c r="D259" s="8" t="str">
        <f t="shared" ref="D259:D322" si="4">UPPER(_xlfn.CONCAT(B259," ",C259))</f>
        <v>JANE SMITH</v>
      </c>
      <c r="E259" s="7" t="s">
        <v>64</v>
      </c>
      <c r="F259" s="7">
        <v>27</v>
      </c>
      <c r="G259" s="7" t="s">
        <v>50</v>
      </c>
      <c r="H259" s="7" t="s">
        <v>65</v>
      </c>
      <c r="I259" s="7" t="s">
        <v>838</v>
      </c>
      <c r="J259" s="7">
        <v>96058</v>
      </c>
      <c r="K259" s="7" t="s">
        <v>30</v>
      </c>
      <c r="L259" s="7" t="s">
        <v>839</v>
      </c>
      <c r="M259" s="7" t="s">
        <v>73</v>
      </c>
      <c r="N259" s="10" t="e">
        <f>VLOOKUP(G259,Departments!A258:C263,3,0)</f>
        <v>#N/A</v>
      </c>
      <c r="O259" s="13" t="e">
        <f>INDEX(Departments!C258:C263,MATCH(Employees!G259,Departments!A258:A263,0))</f>
        <v>#N/A</v>
      </c>
    </row>
    <row r="260" spans="1:15" x14ac:dyDescent="0.35">
      <c r="A260" s="6" t="s">
        <v>840</v>
      </c>
      <c r="B260" s="6" t="s">
        <v>175</v>
      </c>
      <c r="C260" s="6" t="s">
        <v>197</v>
      </c>
      <c r="D260" s="8" t="str">
        <f t="shared" si="4"/>
        <v>NEHA BROWN</v>
      </c>
      <c r="E260" s="6" t="s">
        <v>64</v>
      </c>
      <c r="F260" s="6">
        <v>26</v>
      </c>
      <c r="G260" s="6" t="s">
        <v>49</v>
      </c>
      <c r="H260" s="6" t="s">
        <v>58</v>
      </c>
      <c r="I260" s="6" t="s">
        <v>841</v>
      </c>
      <c r="J260" s="6">
        <v>109724</v>
      </c>
      <c r="K260" s="6" t="s">
        <v>13</v>
      </c>
      <c r="L260" s="6" t="s">
        <v>842</v>
      </c>
      <c r="M260" s="6" t="s">
        <v>61</v>
      </c>
      <c r="N260" s="10" t="e">
        <f>VLOOKUP(G260,Departments!A259:C264,3,0)</f>
        <v>#N/A</v>
      </c>
      <c r="O260" s="13" t="e">
        <f>INDEX(Departments!C259:C264,MATCH(Employees!G260,Departments!A259:A264,0))</f>
        <v>#N/A</v>
      </c>
    </row>
    <row r="261" spans="1:15" x14ac:dyDescent="0.35">
      <c r="A261" s="7" t="s">
        <v>843</v>
      </c>
      <c r="B261" s="7" t="s">
        <v>80</v>
      </c>
      <c r="C261" s="7" t="s">
        <v>81</v>
      </c>
      <c r="D261" s="8" t="str">
        <f t="shared" si="4"/>
        <v>JANE GHOSH</v>
      </c>
      <c r="E261" s="7" t="s">
        <v>64</v>
      </c>
      <c r="F261" s="7">
        <v>35</v>
      </c>
      <c r="G261" s="7" t="s">
        <v>49</v>
      </c>
      <c r="H261" s="7" t="s">
        <v>65</v>
      </c>
      <c r="I261" s="7" t="s">
        <v>245</v>
      </c>
      <c r="J261" s="7">
        <v>69243</v>
      </c>
      <c r="K261" s="7" t="s">
        <v>28</v>
      </c>
      <c r="L261" s="7" t="s">
        <v>844</v>
      </c>
      <c r="M261" s="7" t="s">
        <v>73</v>
      </c>
      <c r="N261" s="10" t="e">
        <f>VLOOKUP(G261,Departments!A260:C265,3,0)</f>
        <v>#N/A</v>
      </c>
      <c r="O261" s="13" t="e">
        <f>INDEX(Departments!C260:C265,MATCH(Employees!G261,Departments!A260:A265,0))</f>
        <v>#N/A</v>
      </c>
    </row>
    <row r="262" spans="1:15" x14ac:dyDescent="0.35">
      <c r="A262" s="6" t="s">
        <v>845</v>
      </c>
      <c r="B262" s="6" t="s">
        <v>89</v>
      </c>
      <c r="C262" s="6" t="s">
        <v>81</v>
      </c>
      <c r="D262" s="8" t="str">
        <f t="shared" si="4"/>
        <v>SARA GHOSH</v>
      </c>
      <c r="E262" s="6" t="s">
        <v>57</v>
      </c>
      <c r="F262" s="6">
        <v>22</v>
      </c>
      <c r="G262" s="6" t="s">
        <v>51</v>
      </c>
      <c r="H262" s="6" t="s">
        <v>65</v>
      </c>
      <c r="I262" s="6" t="s">
        <v>846</v>
      </c>
      <c r="J262" s="6">
        <v>46775</v>
      </c>
      <c r="K262" s="6" t="s">
        <v>30</v>
      </c>
      <c r="L262" s="6" t="s">
        <v>847</v>
      </c>
      <c r="M262" s="6" t="s">
        <v>73</v>
      </c>
      <c r="N262" s="10" t="e">
        <f>VLOOKUP(G262,Departments!A261:C266,3,0)</f>
        <v>#N/A</v>
      </c>
      <c r="O262" s="13" t="e">
        <f>INDEX(Departments!C261:C266,MATCH(Employees!G262,Departments!A261:A266,0))</f>
        <v>#N/A</v>
      </c>
    </row>
    <row r="263" spans="1:15" x14ac:dyDescent="0.35">
      <c r="A263" s="7" t="s">
        <v>848</v>
      </c>
      <c r="B263" s="7" t="s">
        <v>89</v>
      </c>
      <c r="C263" s="7" t="s">
        <v>162</v>
      </c>
      <c r="D263" s="8" t="str">
        <f t="shared" si="4"/>
        <v>SARA DAS</v>
      </c>
      <c r="E263" s="7" t="s">
        <v>57</v>
      </c>
      <c r="F263" s="7">
        <v>37</v>
      </c>
      <c r="G263" s="7" t="s">
        <v>49</v>
      </c>
      <c r="H263" s="7" t="s">
        <v>76</v>
      </c>
      <c r="I263" s="7" t="s">
        <v>776</v>
      </c>
      <c r="J263" s="7">
        <v>86841</v>
      </c>
      <c r="K263" s="7" t="s">
        <v>13</v>
      </c>
      <c r="L263" s="7" t="s">
        <v>849</v>
      </c>
      <c r="M263" s="7" t="s">
        <v>73</v>
      </c>
      <c r="N263" s="10" t="e">
        <f>VLOOKUP(G263,Departments!A262:C267,3,0)</f>
        <v>#N/A</v>
      </c>
      <c r="O263" s="13" t="e">
        <f>INDEX(Departments!C262:C267,MATCH(Employees!G263,Departments!A262:A267,0))</f>
        <v>#N/A</v>
      </c>
    </row>
    <row r="264" spans="1:15" x14ac:dyDescent="0.35">
      <c r="A264" s="6" t="s">
        <v>850</v>
      </c>
      <c r="B264" s="6" t="s">
        <v>69</v>
      </c>
      <c r="C264" s="6" t="s">
        <v>122</v>
      </c>
      <c r="D264" s="8" t="str">
        <f t="shared" si="4"/>
        <v>ROHIT PAUL</v>
      </c>
      <c r="E264" s="6" t="s">
        <v>64</v>
      </c>
      <c r="F264" s="6">
        <v>59</v>
      </c>
      <c r="G264" s="6" t="s">
        <v>49</v>
      </c>
      <c r="H264" s="6" t="s">
        <v>140</v>
      </c>
      <c r="I264" s="6" t="s">
        <v>851</v>
      </c>
      <c r="J264" s="6">
        <v>91520</v>
      </c>
      <c r="K264" s="6" t="s">
        <v>37</v>
      </c>
      <c r="L264" s="6" t="s">
        <v>852</v>
      </c>
      <c r="M264" s="6" t="s">
        <v>73</v>
      </c>
      <c r="N264" s="10" t="e">
        <f>VLOOKUP(G264,Departments!A263:C268,3,0)</f>
        <v>#N/A</v>
      </c>
      <c r="O264" s="13" t="e">
        <f>INDEX(Departments!C263:C268,MATCH(Employees!G264,Departments!A263:A268,0))</f>
        <v>#N/A</v>
      </c>
    </row>
    <row r="265" spans="1:15" x14ac:dyDescent="0.35">
      <c r="A265" s="7" t="s">
        <v>853</v>
      </c>
      <c r="B265" s="7" t="s">
        <v>126</v>
      </c>
      <c r="C265" s="7" t="s">
        <v>162</v>
      </c>
      <c r="D265" s="8" t="str">
        <f t="shared" si="4"/>
        <v>PRIYA DAS</v>
      </c>
      <c r="E265" s="7" t="s">
        <v>57</v>
      </c>
      <c r="F265" s="7">
        <v>44</v>
      </c>
      <c r="G265" s="7" t="s">
        <v>51</v>
      </c>
      <c r="H265" s="7" t="s">
        <v>58</v>
      </c>
      <c r="I265" s="7" t="s">
        <v>854</v>
      </c>
      <c r="J265" s="7">
        <v>97265</v>
      </c>
      <c r="K265" s="7" t="s">
        <v>30</v>
      </c>
      <c r="L265" s="7" t="s">
        <v>855</v>
      </c>
      <c r="M265" s="7" t="s">
        <v>61</v>
      </c>
      <c r="N265" s="10" t="e">
        <f>VLOOKUP(G265,Departments!A264:C269,3,0)</f>
        <v>#N/A</v>
      </c>
      <c r="O265" s="13" t="e">
        <f>INDEX(Departments!C264:C269,MATCH(Employees!G265,Departments!A264:A269,0))</f>
        <v>#N/A</v>
      </c>
    </row>
    <row r="266" spans="1:15" x14ac:dyDescent="0.35">
      <c r="A266" s="6" t="s">
        <v>856</v>
      </c>
      <c r="B266" s="6" t="s">
        <v>69</v>
      </c>
      <c r="C266" s="6" t="s">
        <v>111</v>
      </c>
      <c r="D266" s="8" t="str">
        <f t="shared" si="4"/>
        <v>ROHIT KHAN</v>
      </c>
      <c r="E266" s="6" t="s">
        <v>64</v>
      </c>
      <c r="F266" s="6">
        <v>60</v>
      </c>
      <c r="G266" s="6" t="s">
        <v>49</v>
      </c>
      <c r="H266" s="6" t="s">
        <v>70</v>
      </c>
      <c r="I266" s="6" t="s">
        <v>857</v>
      </c>
      <c r="J266" s="6">
        <v>76450</v>
      </c>
      <c r="K266" s="6" t="s">
        <v>13</v>
      </c>
      <c r="L266" s="6" t="s">
        <v>858</v>
      </c>
      <c r="M266" s="6" t="s">
        <v>61</v>
      </c>
      <c r="N266" s="10" t="e">
        <f>VLOOKUP(G266,Departments!A265:C270,3,0)</f>
        <v>#N/A</v>
      </c>
      <c r="O266" s="13" t="e">
        <f>INDEX(Departments!C265:C270,MATCH(Employees!G266,Departments!A265:A270,0))</f>
        <v>#N/A</v>
      </c>
    </row>
    <row r="267" spans="1:15" x14ac:dyDescent="0.35">
      <c r="A267" s="7" t="s">
        <v>859</v>
      </c>
      <c r="B267" s="7" t="s">
        <v>93</v>
      </c>
      <c r="C267" s="7" t="s">
        <v>56</v>
      </c>
      <c r="D267" s="8" t="str">
        <f t="shared" si="4"/>
        <v>JOHN DUTTA</v>
      </c>
      <c r="E267" s="7" t="s">
        <v>64</v>
      </c>
      <c r="F267" s="7">
        <v>45</v>
      </c>
      <c r="G267" s="7" t="s">
        <v>51</v>
      </c>
      <c r="H267" s="7" t="s">
        <v>58</v>
      </c>
      <c r="I267" s="7" t="s">
        <v>860</v>
      </c>
      <c r="J267" s="7">
        <v>85702</v>
      </c>
      <c r="K267" s="7" t="s">
        <v>18</v>
      </c>
      <c r="L267" s="7" t="s">
        <v>861</v>
      </c>
      <c r="M267" s="7" t="s">
        <v>73</v>
      </c>
      <c r="N267" s="10" t="e">
        <f>VLOOKUP(G267,Departments!A266:C271,3,0)</f>
        <v>#N/A</v>
      </c>
      <c r="O267" s="13" t="e">
        <f>INDEX(Departments!C266:C271,MATCH(Employees!G267,Departments!A266:A271,0))</f>
        <v>#N/A</v>
      </c>
    </row>
    <row r="268" spans="1:15" x14ac:dyDescent="0.35">
      <c r="A268" s="6" t="s">
        <v>862</v>
      </c>
      <c r="B268" s="6" t="s">
        <v>104</v>
      </c>
      <c r="C268" s="6" t="s">
        <v>197</v>
      </c>
      <c r="D268" s="8" t="str">
        <f t="shared" si="4"/>
        <v>ANITA BROWN</v>
      </c>
      <c r="E268" s="6" t="s">
        <v>57</v>
      </c>
      <c r="F268" s="6">
        <v>52</v>
      </c>
      <c r="G268" s="6" t="s">
        <v>52</v>
      </c>
      <c r="H268" s="6" t="s">
        <v>76</v>
      </c>
      <c r="I268" s="6" t="s">
        <v>863</v>
      </c>
      <c r="J268" s="6">
        <v>94043</v>
      </c>
      <c r="K268" s="6" t="s">
        <v>28</v>
      </c>
      <c r="L268" s="6" t="s">
        <v>864</v>
      </c>
      <c r="M268" s="6" t="s">
        <v>73</v>
      </c>
      <c r="N268" s="10" t="e">
        <f>VLOOKUP(G268,Departments!A267:C272,3,0)</f>
        <v>#N/A</v>
      </c>
      <c r="O268" s="13" t="e">
        <f>INDEX(Departments!C267:C272,MATCH(Employees!G268,Departments!A267:A272,0))</f>
        <v>#N/A</v>
      </c>
    </row>
    <row r="269" spans="1:15" x14ac:dyDescent="0.35">
      <c r="A269" s="7" t="s">
        <v>865</v>
      </c>
      <c r="B269" s="7" t="s">
        <v>80</v>
      </c>
      <c r="C269" s="7" t="s">
        <v>111</v>
      </c>
      <c r="D269" s="8" t="str">
        <f t="shared" si="4"/>
        <v>JANE KHAN</v>
      </c>
      <c r="E269" s="7" t="s">
        <v>57</v>
      </c>
      <c r="F269" s="7">
        <v>26</v>
      </c>
      <c r="G269" s="7" t="s">
        <v>52</v>
      </c>
      <c r="H269" s="7" t="s">
        <v>140</v>
      </c>
      <c r="I269" s="7" t="s">
        <v>866</v>
      </c>
      <c r="J269" s="7">
        <v>59385</v>
      </c>
      <c r="K269" s="7" t="s">
        <v>18</v>
      </c>
      <c r="L269" s="7" t="s">
        <v>867</v>
      </c>
      <c r="M269" s="7" t="s">
        <v>61</v>
      </c>
      <c r="N269" s="10" t="e">
        <f>VLOOKUP(G269,Departments!A268:C273,3,0)</f>
        <v>#N/A</v>
      </c>
      <c r="O269" s="13" t="e">
        <f>INDEX(Departments!C268:C273,MATCH(Employees!G269,Departments!A268:A273,0))</f>
        <v>#N/A</v>
      </c>
    </row>
    <row r="270" spans="1:15" x14ac:dyDescent="0.35">
      <c r="A270" s="6" t="s">
        <v>868</v>
      </c>
      <c r="B270" s="6" t="s">
        <v>89</v>
      </c>
      <c r="C270" s="6" t="s">
        <v>97</v>
      </c>
      <c r="D270" s="8" t="str">
        <f t="shared" si="4"/>
        <v>SARA SINGH</v>
      </c>
      <c r="E270" s="6" t="s">
        <v>57</v>
      </c>
      <c r="F270" s="6">
        <v>43</v>
      </c>
      <c r="G270" s="6" t="s">
        <v>50</v>
      </c>
      <c r="H270" s="6" t="s">
        <v>76</v>
      </c>
      <c r="I270" s="6" t="s">
        <v>869</v>
      </c>
      <c r="J270" s="6">
        <v>114243</v>
      </c>
      <c r="K270" s="6" t="s">
        <v>28</v>
      </c>
      <c r="L270" s="6" t="s">
        <v>870</v>
      </c>
      <c r="M270" s="6" t="s">
        <v>61</v>
      </c>
      <c r="N270" s="10" t="e">
        <f>VLOOKUP(G270,Departments!A269:C274,3,0)</f>
        <v>#N/A</v>
      </c>
      <c r="O270" s="13" t="e">
        <f>INDEX(Departments!C269:C274,MATCH(Employees!G270,Departments!A269:A274,0))</f>
        <v>#N/A</v>
      </c>
    </row>
    <row r="271" spans="1:15" x14ac:dyDescent="0.35">
      <c r="A271" s="7" t="s">
        <v>871</v>
      </c>
      <c r="B271" s="7" t="s">
        <v>55</v>
      </c>
      <c r="C271" s="7" t="s">
        <v>115</v>
      </c>
      <c r="D271" s="8" t="str">
        <f t="shared" si="4"/>
        <v>AMIT SEN</v>
      </c>
      <c r="E271" s="7" t="s">
        <v>57</v>
      </c>
      <c r="F271" s="7">
        <v>38</v>
      </c>
      <c r="G271" s="7" t="s">
        <v>49</v>
      </c>
      <c r="H271" s="7" t="s">
        <v>58</v>
      </c>
      <c r="I271" s="7" t="s">
        <v>872</v>
      </c>
      <c r="J271" s="7">
        <v>108702</v>
      </c>
      <c r="K271" s="7" t="s">
        <v>13</v>
      </c>
      <c r="L271" s="7" t="s">
        <v>873</v>
      </c>
      <c r="M271" s="7" t="s">
        <v>61</v>
      </c>
      <c r="N271" s="10" t="e">
        <f>VLOOKUP(G271,Departments!A270:C275,3,0)</f>
        <v>#N/A</v>
      </c>
      <c r="O271" s="13" t="e">
        <f>INDEX(Departments!C270:C275,MATCH(Employees!G271,Departments!A270:A275,0))</f>
        <v>#N/A</v>
      </c>
    </row>
    <row r="272" spans="1:15" x14ac:dyDescent="0.35">
      <c r="A272" s="6" t="s">
        <v>874</v>
      </c>
      <c r="B272" s="6" t="s">
        <v>55</v>
      </c>
      <c r="C272" s="6" t="s">
        <v>111</v>
      </c>
      <c r="D272" s="8" t="str">
        <f t="shared" si="4"/>
        <v>AMIT KHAN</v>
      </c>
      <c r="E272" s="6" t="s">
        <v>64</v>
      </c>
      <c r="F272" s="6">
        <v>54</v>
      </c>
      <c r="G272" s="6" t="s">
        <v>49</v>
      </c>
      <c r="H272" s="6" t="s">
        <v>76</v>
      </c>
      <c r="I272" s="6" t="s">
        <v>875</v>
      </c>
      <c r="J272" s="6">
        <v>103130</v>
      </c>
      <c r="K272" s="6" t="s">
        <v>30</v>
      </c>
      <c r="L272" s="6" t="s">
        <v>876</v>
      </c>
      <c r="M272" s="6" t="s">
        <v>61</v>
      </c>
      <c r="N272" s="10" t="e">
        <f>VLOOKUP(G272,Departments!A271:C276,3,0)</f>
        <v>#N/A</v>
      </c>
      <c r="O272" s="13" t="e">
        <f>INDEX(Departments!C271:C276,MATCH(Employees!G272,Departments!A271:A276,0))</f>
        <v>#N/A</v>
      </c>
    </row>
    <row r="273" spans="1:15" x14ac:dyDescent="0.35">
      <c r="A273" s="7" t="s">
        <v>877</v>
      </c>
      <c r="B273" s="7" t="s">
        <v>69</v>
      </c>
      <c r="C273" s="7" t="s">
        <v>81</v>
      </c>
      <c r="D273" s="8" t="str">
        <f t="shared" si="4"/>
        <v>ROHIT GHOSH</v>
      </c>
      <c r="E273" s="7" t="s">
        <v>64</v>
      </c>
      <c r="F273" s="7">
        <v>44</v>
      </c>
      <c r="G273" s="7" t="s">
        <v>52</v>
      </c>
      <c r="H273" s="7" t="s">
        <v>58</v>
      </c>
      <c r="I273" s="7" t="s">
        <v>878</v>
      </c>
      <c r="J273" s="7">
        <v>71195</v>
      </c>
      <c r="K273" s="7" t="s">
        <v>37</v>
      </c>
      <c r="L273" s="7" t="s">
        <v>879</v>
      </c>
      <c r="M273" s="7" t="s">
        <v>61</v>
      </c>
      <c r="N273" s="10" t="e">
        <f>VLOOKUP(G273,Departments!A272:C277,3,0)</f>
        <v>#N/A</v>
      </c>
      <c r="O273" s="13" t="e">
        <f>INDEX(Departments!C272:C277,MATCH(Employees!G273,Departments!A272:A277,0))</f>
        <v>#N/A</v>
      </c>
    </row>
    <row r="274" spans="1:15" x14ac:dyDescent="0.35">
      <c r="A274" s="6" t="s">
        <v>880</v>
      </c>
      <c r="B274" s="6" t="s">
        <v>175</v>
      </c>
      <c r="C274" s="6" t="s">
        <v>115</v>
      </c>
      <c r="D274" s="8" t="str">
        <f t="shared" si="4"/>
        <v>NEHA SEN</v>
      </c>
      <c r="E274" s="6" t="s">
        <v>57</v>
      </c>
      <c r="F274" s="6">
        <v>55</v>
      </c>
      <c r="G274" s="6" t="s">
        <v>49</v>
      </c>
      <c r="H274" s="6" t="s">
        <v>65</v>
      </c>
      <c r="I274" s="6" t="s">
        <v>881</v>
      </c>
      <c r="J274" s="6">
        <v>40336</v>
      </c>
      <c r="K274" s="6" t="s">
        <v>37</v>
      </c>
      <c r="L274" s="6" t="s">
        <v>882</v>
      </c>
      <c r="M274" s="6" t="s">
        <v>73</v>
      </c>
      <c r="N274" s="10" t="e">
        <f>VLOOKUP(G274,Departments!A273:C278,3,0)</f>
        <v>#N/A</v>
      </c>
      <c r="O274" s="13" t="e">
        <f>INDEX(Departments!C273:C278,MATCH(Employees!G274,Departments!A273:A278,0))</f>
        <v>#N/A</v>
      </c>
    </row>
    <row r="275" spans="1:15" x14ac:dyDescent="0.35">
      <c r="A275" s="7" t="s">
        <v>883</v>
      </c>
      <c r="B275" s="7" t="s">
        <v>126</v>
      </c>
      <c r="C275" s="7" t="s">
        <v>63</v>
      </c>
      <c r="D275" s="8" t="str">
        <f t="shared" si="4"/>
        <v>PRIYA ROY</v>
      </c>
      <c r="E275" s="7" t="s">
        <v>64</v>
      </c>
      <c r="F275" s="7">
        <v>52</v>
      </c>
      <c r="G275" s="7" t="s">
        <v>50</v>
      </c>
      <c r="H275" s="7" t="s">
        <v>76</v>
      </c>
      <c r="I275" s="7" t="s">
        <v>884</v>
      </c>
      <c r="J275" s="7">
        <v>107267</v>
      </c>
      <c r="K275" s="7" t="s">
        <v>28</v>
      </c>
      <c r="L275" s="7" t="s">
        <v>885</v>
      </c>
      <c r="M275" s="7" t="s">
        <v>73</v>
      </c>
      <c r="N275" s="10" t="e">
        <f>VLOOKUP(G275,Departments!A274:C279,3,0)</f>
        <v>#N/A</v>
      </c>
      <c r="O275" s="13" t="e">
        <f>INDEX(Departments!C274:C279,MATCH(Employees!G275,Departments!A274:A279,0))</f>
        <v>#N/A</v>
      </c>
    </row>
    <row r="276" spans="1:15" x14ac:dyDescent="0.35">
      <c r="A276" s="6" t="s">
        <v>886</v>
      </c>
      <c r="B276" s="6" t="s">
        <v>55</v>
      </c>
      <c r="C276" s="6" t="s">
        <v>122</v>
      </c>
      <c r="D276" s="8" t="str">
        <f t="shared" si="4"/>
        <v>AMIT PAUL</v>
      </c>
      <c r="E276" s="6" t="s">
        <v>57</v>
      </c>
      <c r="F276" s="6">
        <v>43</v>
      </c>
      <c r="G276" s="6" t="s">
        <v>52</v>
      </c>
      <c r="H276" s="6" t="s">
        <v>70</v>
      </c>
      <c r="I276" s="6" t="s">
        <v>887</v>
      </c>
      <c r="J276" s="6">
        <v>89633</v>
      </c>
      <c r="K276" s="6" t="s">
        <v>28</v>
      </c>
      <c r="L276" s="6" t="s">
        <v>888</v>
      </c>
      <c r="M276" s="6" t="s">
        <v>73</v>
      </c>
      <c r="N276" s="10" t="e">
        <f>VLOOKUP(G276,Departments!A275:C280,3,0)</f>
        <v>#N/A</v>
      </c>
      <c r="O276" s="13" t="e">
        <f>INDEX(Departments!C275:C280,MATCH(Employees!G276,Departments!A275:A280,0))</f>
        <v>#N/A</v>
      </c>
    </row>
    <row r="277" spans="1:15" x14ac:dyDescent="0.35">
      <c r="A277" s="7" t="s">
        <v>889</v>
      </c>
      <c r="B277" s="7" t="s">
        <v>89</v>
      </c>
      <c r="C277" s="7" t="s">
        <v>63</v>
      </c>
      <c r="D277" s="8" t="str">
        <f t="shared" si="4"/>
        <v>SARA ROY</v>
      </c>
      <c r="E277" s="7" t="s">
        <v>64</v>
      </c>
      <c r="F277" s="7">
        <v>51</v>
      </c>
      <c r="G277" s="7" t="s">
        <v>52</v>
      </c>
      <c r="H277" s="7" t="s">
        <v>76</v>
      </c>
      <c r="I277" s="7" t="s">
        <v>890</v>
      </c>
      <c r="J277" s="7">
        <v>76409</v>
      </c>
      <c r="K277" s="7" t="s">
        <v>18</v>
      </c>
      <c r="L277" s="7" t="s">
        <v>891</v>
      </c>
      <c r="M277" s="7" t="s">
        <v>73</v>
      </c>
      <c r="N277" s="10" t="e">
        <f>VLOOKUP(G277,Departments!A276:C281,3,0)</f>
        <v>#N/A</v>
      </c>
      <c r="O277" s="13" t="e">
        <f>INDEX(Departments!C276:C281,MATCH(Employees!G277,Departments!A276:A281,0))</f>
        <v>#N/A</v>
      </c>
    </row>
    <row r="278" spans="1:15" x14ac:dyDescent="0.35">
      <c r="A278" s="6" t="s">
        <v>892</v>
      </c>
      <c r="B278" s="6" t="s">
        <v>126</v>
      </c>
      <c r="C278" s="6" t="s">
        <v>81</v>
      </c>
      <c r="D278" s="8" t="str">
        <f t="shared" si="4"/>
        <v>PRIYA GHOSH</v>
      </c>
      <c r="E278" s="6" t="s">
        <v>57</v>
      </c>
      <c r="F278" s="6">
        <v>22</v>
      </c>
      <c r="G278" s="6" t="s">
        <v>52</v>
      </c>
      <c r="H278" s="6" t="s">
        <v>65</v>
      </c>
      <c r="I278" s="6" t="s">
        <v>893</v>
      </c>
      <c r="J278" s="6">
        <v>79899</v>
      </c>
      <c r="K278" s="6" t="s">
        <v>28</v>
      </c>
      <c r="L278" s="6" t="s">
        <v>894</v>
      </c>
      <c r="M278" s="6" t="s">
        <v>73</v>
      </c>
      <c r="N278" s="10" t="e">
        <f>VLOOKUP(G278,Departments!A277:C282,3,0)</f>
        <v>#N/A</v>
      </c>
      <c r="O278" s="13" t="e">
        <f>INDEX(Departments!C277:C282,MATCH(Employees!G278,Departments!A277:A282,0))</f>
        <v>#N/A</v>
      </c>
    </row>
    <row r="279" spans="1:15" x14ac:dyDescent="0.35">
      <c r="A279" s="7" t="s">
        <v>895</v>
      </c>
      <c r="B279" s="7" t="s">
        <v>85</v>
      </c>
      <c r="C279" s="7" t="s">
        <v>127</v>
      </c>
      <c r="D279" s="8" t="str">
        <f t="shared" si="4"/>
        <v>RAHUL SMITH</v>
      </c>
      <c r="E279" s="7" t="s">
        <v>57</v>
      </c>
      <c r="F279" s="7">
        <v>28</v>
      </c>
      <c r="G279" s="7" t="s">
        <v>49</v>
      </c>
      <c r="H279" s="7" t="s">
        <v>70</v>
      </c>
      <c r="I279" s="7" t="s">
        <v>896</v>
      </c>
      <c r="J279" s="7">
        <v>92548</v>
      </c>
      <c r="K279" s="7" t="s">
        <v>30</v>
      </c>
      <c r="L279" s="7" t="s">
        <v>897</v>
      </c>
      <c r="M279" s="7" t="s">
        <v>73</v>
      </c>
      <c r="N279" s="10" t="e">
        <f>VLOOKUP(G279,Departments!A278:C283,3,0)</f>
        <v>#N/A</v>
      </c>
      <c r="O279" s="13" t="e">
        <f>INDEX(Departments!C278:C283,MATCH(Employees!G279,Departments!A278:A283,0))</f>
        <v>#N/A</v>
      </c>
    </row>
    <row r="280" spans="1:15" x14ac:dyDescent="0.35">
      <c r="A280" s="6" t="s">
        <v>898</v>
      </c>
      <c r="B280" s="6" t="s">
        <v>75</v>
      </c>
      <c r="C280" s="6" t="s">
        <v>197</v>
      </c>
      <c r="D280" s="8" t="str">
        <f t="shared" si="4"/>
        <v>DAVID BROWN</v>
      </c>
      <c r="E280" s="6" t="s">
        <v>57</v>
      </c>
      <c r="F280" s="6">
        <v>32</v>
      </c>
      <c r="G280" s="6" t="s">
        <v>49</v>
      </c>
      <c r="H280" s="6" t="s">
        <v>76</v>
      </c>
      <c r="I280" s="6" t="s">
        <v>899</v>
      </c>
      <c r="J280" s="6">
        <v>60558</v>
      </c>
      <c r="K280" s="6" t="s">
        <v>13</v>
      </c>
      <c r="L280" s="6" t="s">
        <v>900</v>
      </c>
      <c r="M280" s="6" t="s">
        <v>61</v>
      </c>
      <c r="N280" s="10" t="e">
        <f>VLOOKUP(G280,Departments!A279:C284,3,0)</f>
        <v>#N/A</v>
      </c>
      <c r="O280" s="13" t="e">
        <f>INDEX(Departments!C279:C284,MATCH(Employees!G280,Departments!A279:A284,0))</f>
        <v>#N/A</v>
      </c>
    </row>
    <row r="281" spans="1:15" x14ac:dyDescent="0.35">
      <c r="A281" s="7" t="s">
        <v>901</v>
      </c>
      <c r="B281" s="7" t="s">
        <v>85</v>
      </c>
      <c r="C281" s="7" t="s">
        <v>162</v>
      </c>
      <c r="D281" s="8" t="str">
        <f t="shared" si="4"/>
        <v>RAHUL DAS</v>
      </c>
      <c r="E281" s="7" t="s">
        <v>57</v>
      </c>
      <c r="F281" s="7">
        <v>60</v>
      </c>
      <c r="G281" s="7" t="s">
        <v>51</v>
      </c>
      <c r="H281" s="7" t="s">
        <v>58</v>
      </c>
      <c r="I281" s="7" t="s">
        <v>902</v>
      </c>
      <c r="J281" s="7">
        <v>40802</v>
      </c>
      <c r="K281" s="7" t="s">
        <v>37</v>
      </c>
      <c r="L281" s="7" t="s">
        <v>903</v>
      </c>
      <c r="M281" s="7" t="s">
        <v>61</v>
      </c>
      <c r="N281" s="10" t="e">
        <f>VLOOKUP(G281,Departments!A280:C285,3,0)</f>
        <v>#N/A</v>
      </c>
      <c r="O281" s="13" t="e">
        <f>INDEX(Departments!C280:C285,MATCH(Employees!G281,Departments!A280:A285,0))</f>
        <v>#N/A</v>
      </c>
    </row>
    <row r="282" spans="1:15" x14ac:dyDescent="0.35">
      <c r="A282" s="6" t="s">
        <v>904</v>
      </c>
      <c r="B282" s="6" t="s">
        <v>175</v>
      </c>
      <c r="C282" s="6" t="s">
        <v>197</v>
      </c>
      <c r="D282" s="8" t="str">
        <f t="shared" si="4"/>
        <v>NEHA BROWN</v>
      </c>
      <c r="E282" s="6" t="s">
        <v>64</v>
      </c>
      <c r="F282" s="6">
        <v>24</v>
      </c>
      <c r="G282" s="6" t="s">
        <v>53</v>
      </c>
      <c r="H282" s="6" t="s">
        <v>140</v>
      </c>
      <c r="I282" s="6" t="s">
        <v>905</v>
      </c>
      <c r="J282" s="6">
        <v>117454</v>
      </c>
      <c r="K282" s="6" t="s">
        <v>28</v>
      </c>
      <c r="L282" s="6" t="s">
        <v>906</v>
      </c>
      <c r="M282" s="6" t="s">
        <v>73</v>
      </c>
      <c r="N282" s="10" t="e">
        <f>VLOOKUP(G282,Departments!A281:C286,3,0)</f>
        <v>#N/A</v>
      </c>
      <c r="O282" s="13" t="e">
        <f>INDEX(Departments!C281:C286,MATCH(Employees!G282,Departments!A281:A286,0))</f>
        <v>#N/A</v>
      </c>
    </row>
    <row r="283" spans="1:15" x14ac:dyDescent="0.35">
      <c r="A283" s="7" t="s">
        <v>907</v>
      </c>
      <c r="B283" s="7" t="s">
        <v>175</v>
      </c>
      <c r="C283" s="7" t="s">
        <v>127</v>
      </c>
      <c r="D283" s="8" t="str">
        <f t="shared" si="4"/>
        <v>NEHA SMITH</v>
      </c>
      <c r="E283" s="7" t="s">
        <v>64</v>
      </c>
      <c r="F283" s="7">
        <v>26</v>
      </c>
      <c r="G283" s="7" t="s">
        <v>52</v>
      </c>
      <c r="H283" s="7" t="s">
        <v>70</v>
      </c>
      <c r="I283" s="7" t="s">
        <v>908</v>
      </c>
      <c r="J283" s="7">
        <v>48830</v>
      </c>
      <c r="K283" s="7" t="s">
        <v>28</v>
      </c>
      <c r="L283" s="7" t="s">
        <v>909</v>
      </c>
      <c r="M283" s="7" t="s">
        <v>61</v>
      </c>
      <c r="N283" s="10" t="e">
        <f>VLOOKUP(G283,Departments!A282:C287,3,0)</f>
        <v>#N/A</v>
      </c>
      <c r="O283" s="13" t="e">
        <f>INDEX(Departments!C282:C287,MATCH(Employees!G283,Departments!A282:A287,0))</f>
        <v>#N/A</v>
      </c>
    </row>
    <row r="284" spans="1:15" x14ac:dyDescent="0.35">
      <c r="A284" s="6" t="s">
        <v>910</v>
      </c>
      <c r="B284" s="6" t="s">
        <v>93</v>
      </c>
      <c r="C284" s="6" t="s">
        <v>63</v>
      </c>
      <c r="D284" s="8" t="str">
        <f t="shared" si="4"/>
        <v>JOHN ROY</v>
      </c>
      <c r="E284" s="6" t="s">
        <v>64</v>
      </c>
      <c r="F284" s="6">
        <v>36</v>
      </c>
      <c r="G284" s="6" t="s">
        <v>50</v>
      </c>
      <c r="H284" s="6" t="s">
        <v>58</v>
      </c>
      <c r="I284" s="6" t="s">
        <v>911</v>
      </c>
      <c r="J284" s="6">
        <v>45532</v>
      </c>
      <c r="K284" s="6" t="s">
        <v>37</v>
      </c>
      <c r="L284" s="6" t="s">
        <v>912</v>
      </c>
      <c r="M284" s="6" t="s">
        <v>73</v>
      </c>
      <c r="N284" s="10" t="e">
        <f>VLOOKUP(G284,Departments!A283:C288,3,0)</f>
        <v>#N/A</v>
      </c>
      <c r="O284" s="13" t="e">
        <f>INDEX(Departments!C283:C288,MATCH(Employees!G284,Departments!A283:A288,0))</f>
        <v>#N/A</v>
      </c>
    </row>
    <row r="285" spans="1:15" x14ac:dyDescent="0.35">
      <c r="A285" s="7" t="s">
        <v>913</v>
      </c>
      <c r="B285" s="7" t="s">
        <v>80</v>
      </c>
      <c r="C285" s="7" t="s">
        <v>127</v>
      </c>
      <c r="D285" s="8" t="str">
        <f t="shared" si="4"/>
        <v>JANE SMITH</v>
      </c>
      <c r="E285" s="7" t="s">
        <v>64</v>
      </c>
      <c r="F285" s="7">
        <v>43</v>
      </c>
      <c r="G285" s="7" t="s">
        <v>53</v>
      </c>
      <c r="H285" s="7" t="s">
        <v>76</v>
      </c>
      <c r="I285" s="7" t="s">
        <v>248</v>
      </c>
      <c r="J285" s="7">
        <v>44771</v>
      </c>
      <c r="K285" s="7" t="s">
        <v>28</v>
      </c>
      <c r="L285" s="7" t="s">
        <v>914</v>
      </c>
      <c r="M285" s="7" t="s">
        <v>61</v>
      </c>
      <c r="N285" s="10" t="e">
        <f>VLOOKUP(G285,Departments!A284:C289,3,0)</f>
        <v>#N/A</v>
      </c>
      <c r="O285" s="13" t="e">
        <f>INDEX(Departments!C284:C289,MATCH(Employees!G285,Departments!A284:A289,0))</f>
        <v>#N/A</v>
      </c>
    </row>
    <row r="286" spans="1:15" x14ac:dyDescent="0.35">
      <c r="A286" s="6" t="s">
        <v>915</v>
      </c>
      <c r="B286" s="6" t="s">
        <v>89</v>
      </c>
      <c r="C286" s="6" t="s">
        <v>81</v>
      </c>
      <c r="D286" s="8" t="str">
        <f t="shared" si="4"/>
        <v>SARA GHOSH</v>
      </c>
      <c r="E286" s="6" t="s">
        <v>57</v>
      </c>
      <c r="F286" s="6">
        <v>27</v>
      </c>
      <c r="G286" s="6" t="s">
        <v>53</v>
      </c>
      <c r="H286" s="6" t="s">
        <v>58</v>
      </c>
      <c r="I286" s="6" t="s">
        <v>916</v>
      </c>
      <c r="J286" s="6">
        <v>46998</v>
      </c>
      <c r="K286" s="6" t="s">
        <v>13</v>
      </c>
      <c r="L286" s="6" t="s">
        <v>917</v>
      </c>
      <c r="M286" s="6" t="s">
        <v>73</v>
      </c>
      <c r="N286" s="10" t="e">
        <f>VLOOKUP(G286,Departments!A285:C290,3,0)</f>
        <v>#N/A</v>
      </c>
      <c r="O286" s="13" t="e">
        <f>INDEX(Departments!C285:C290,MATCH(Employees!G286,Departments!A285:A290,0))</f>
        <v>#N/A</v>
      </c>
    </row>
    <row r="287" spans="1:15" x14ac:dyDescent="0.35">
      <c r="A287" s="7" t="s">
        <v>918</v>
      </c>
      <c r="B287" s="7" t="s">
        <v>104</v>
      </c>
      <c r="C287" s="7" t="s">
        <v>81</v>
      </c>
      <c r="D287" s="8" t="str">
        <f t="shared" si="4"/>
        <v>ANITA GHOSH</v>
      </c>
      <c r="E287" s="7" t="s">
        <v>57</v>
      </c>
      <c r="F287" s="7">
        <v>47</v>
      </c>
      <c r="G287" s="7" t="s">
        <v>52</v>
      </c>
      <c r="H287" s="7" t="s">
        <v>65</v>
      </c>
      <c r="I287" s="7" t="s">
        <v>919</v>
      </c>
      <c r="J287" s="7">
        <v>106837</v>
      </c>
      <c r="K287" s="7" t="s">
        <v>37</v>
      </c>
      <c r="L287" s="7" t="s">
        <v>920</v>
      </c>
      <c r="M287" s="7" t="s">
        <v>73</v>
      </c>
      <c r="N287" s="10" t="e">
        <f>VLOOKUP(G287,Departments!A286:C291,3,0)</f>
        <v>#N/A</v>
      </c>
      <c r="O287" s="13" t="e">
        <f>INDEX(Departments!C286:C291,MATCH(Employees!G287,Departments!A286:A291,0))</f>
        <v>#N/A</v>
      </c>
    </row>
    <row r="288" spans="1:15" x14ac:dyDescent="0.35">
      <c r="A288" s="6" t="s">
        <v>921</v>
      </c>
      <c r="B288" s="6" t="s">
        <v>93</v>
      </c>
      <c r="C288" s="6" t="s">
        <v>162</v>
      </c>
      <c r="D288" s="8" t="str">
        <f t="shared" si="4"/>
        <v>JOHN DAS</v>
      </c>
      <c r="E288" s="6" t="s">
        <v>57</v>
      </c>
      <c r="F288" s="6">
        <v>52</v>
      </c>
      <c r="G288" s="6" t="s">
        <v>52</v>
      </c>
      <c r="H288" s="6" t="s">
        <v>140</v>
      </c>
      <c r="I288" s="6" t="s">
        <v>922</v>
      </c>
      <c r="J288" s="6">
        <v>97878</v>
      </c>
      <c r="K288" s="6" t="s">
        <v>28</v>
      </c>
      <c r="L288" s="6" t="s">
        <v>923</v>
      </c>
      <c r="M288" s="6" t="s">
        <v>73</v>
      </c>
      <c r="N288" s="10" t="e">
        <f>VLOOKUP(G288,Departments!A287:C292,3,0)</f>
        <v>#N/A</v>
      </c>
      <c r="O288" s="13" t="e">
        <f>INDEX(Departments!C287:C292,MATCH(Employees!G288,Departments!A287:A292,0))</f>
        <v>#N/A</v>
      </c>
    </row>
    <row r="289" spans="1:15" x14ac:dyDescent="0.35">
      <c r="A289" s="7" t="s">
        <v>924</v>
      </c>
      <c r="B289" s="7" t="s">
        <v>89</v>
      </c>
      <c r="C289" s="7" t="s">
        <v>127</v>
      </c>
      <c r="D289" s="8" t="str">
        <f t="shared" si="4"/>
        <v>SARA SMITH</v>
      </c>
      <c r="E289" s="7" t="s">
        <v>57</v>
      </c>
      <c r="F289" s="7">
        <v>52</v>
      </c>
      <c r="G289" s="7" t="s">
        <v>52</v>
      </c>
      <c r="H289" s="7" t="s">
        <v>140</v>
      </c>
      <c r="I289" s="7" t="s">
        <v>925</v>
      </c>
      <c r="J289" s="7">
        <v>42401</v>
      </c>
      <c r="K289" s="7" t="s">
        <v>28</v>
      </c>
      <c r="L289" s="7" t="s">
        <v>926</v>
      </c>
      <c r="M289" s="7" t="s">
        <v>73</v>
      </c>
      <c r="N289" s="10" t="e">
        <f>VLOOKUP(G289,Departments!A288:C293,3,0)</f>
        <v>#N/A</v>
      </c>
      <c r="O289" s="13" t="e">
        <f>INDEX(Departments!C288:C293,MATCH(Employees!G289,Departments!A288:A293,0))</f>
        <v>#N/A</v>
      </c>
    </row>
    <row r="290" spans="1:15" x14ac:dyDescent="0.35">
      <c r="A290" s="6" t="s">
        <v>927</v>
      </c>
      <c r="B290" s="6" t="s">
        <v>85</v>
      </c>
      <c r="C290" s="6" t="s">
        <v>197</v>
      </c>
      <c r="D290" s="8" t="str">
        <f t="shared" si="4"/>
        <v>RAHUL BROWN</v>
      </c>
      <c r="E290" s="6" t="s">
        <v>57</v>
      </c>
      <c r="F290" s="6">
        <v>59</v>
      </c>
      <c r="G290" s="6" t="s">
        <v>52</v>
      </c>
      <c r="H290" s="6" t="s">
        <v>65</v>
      </c>
      <c r="I290" s="6" t="s">
        <v>928</v>
      </c>
      <c r="J290" s="6">
        <v>88760</v>
      </c>
      <c r="K290" s="6" t="s">
        <v>30</v>
      </c>
      <c r="L290" s="6" t="s">
        <v>929</v>
      </c>
      <c r="M290" s="6" t="s">
        <v>61</v>
      </c>
      <c r="N290" s="10" t="e">
        <f>VLOOKUP(G290,Departments!A289:C294,3,0)</f>
        <v>#N/A</v>
      </c>
      <c r="O290" s="13" t="e">
        <f>INDEX(Departments!C289:C294,MATCH(Employees!G290,Departments!A289:A294,0))</f>
        <v>#N/A</v>
      </c>
    </row>
    <row r="291" spans="1:15" x14ac:dyDescent="0.35">
      <c r="A291" s="7" t="s">
        <v>930</v>
      </c>
      <c r="B291" s="7" t="s">
        <v>126</v>
      </c>
      <c r="C291" s="7" t="s">
        <v>97</v>
      </c>
      <c r="D291" s="8" t="str">
        <f t="shared" si="4"/>
        <v>PRIYA SINGH</v>
      </c>
      <c r="E291" s="7" t="s">
        <v>64</v>
      </c>
      <c r="F291" s="7">
        <v>43</v>
      </c>
      <c r="G291" s="7" t="s">
        <v>53</v>
      </c>
      <c r="H291" s="7" t="s">
        <v>58</v>
      </c>
      <c r="I291" s="7" t="s">
        <v>931</v>
      </c>
      <c r="J291" s="7">
        <v>55436</v>
      </c>
      <c r="K291" s="7" t="s">
        <v>37</v>
      </c>
      <c r="L291" s="7" t="s">
        <v>932</v>
      </c>
      <c r="M291" s="7" t="s">
        <v>61</v>
      </c>
      <c r="N291" s="10" t="e">
        <f>VLOOKUP(G291,Departments!A290:C295,3,0)</f>
        <v>#N/A</v>
      </c>
      <c r="O291" s="13" t="e">
        <f>INDEX(Departments!C290:C295,MATCH(Employees!G291,Departments!A290:A295,0))</f>
        <v>#N/A</v>
      </c>
    </row>
    <row r="292" spans="1:15" x14ac:dyDescent="0.35">
      <c r="A292" s="6" t="s">
        <v>933</v>
      </c>
      <c r="B292" s="6" t="s">
        <v>93</v>
      </c>
      <c r="C292" s="6" t="s">
        <v>81</v>
      </c>
      <c r="D292" s="8" t="str">
        <f t="shared" si="4"/>
        <v>JOHN GHOSH</v>
      </c>
      <c r="E292" s="6" t="s">
        <v>57</v>
      </c>
      <c r="F292" s="6">
        <v>55</v>
      </c>
      <c r="G292" s="6" t="s">
        <v>52</v>
      </c>
      <c r="H292" s="6" t="s">
        <v>140</v>
      </c>
      <c r="I292" s="6" t="s">
        <v>934</v>
      </c>
      <c r="J292" s="6">
        <v>84404</v>
      </c>
      <c r="K292" s="6" t="s">
        <v>30</v>
      </c>
      <c r="L292" s="6" t="s">
        <v>935</v>
      </c>
      <c r="M292" s="6" t="s">
        <v>73</v>
      </c>
      <c r="N292" s="10" t="e">
        <f>VLOOKUP(G292,Departments!A291:C296,3,0)</f>
        <v>#N/A</v>
      </c>
      <c r="O292" s="13" t="e">
        <f>INDEX(Departments!C291:C296,MATCH(Employees!G292,Departments!A291:A296,0))</f>
        <v>#N/A</v>
      </c>
    </row>
    <row r="293" spans="1:15" x14ac:dyDescent="0.35">
      <c r="A293" s="7" t="s">
        <v>936</v>
      </c>
      <c r="B293" s="7" t="s">
        <v>175</v>
      </c>
      <c r="C293" s="7" t="s">
        <v>162</v>
      </c>
      <c r="D293" s="8" t="str">
        <f t="shared" si="4"/>
        <v>NEHA DAS</v>
      </c>
      <c r="E293" s="7" t="s">
        <v>64</v>
      </c>
      <c r="F293" s="7">
        <v>24</v>
      </c>
      <c r="G293" s="7" t="s">
        <v>53</v>
      </c>
      <c r="H293" s="7" t="s">
        <v>65</v>
      </c>
      <c r="I293" s="7" t="s">
        <v>937</v>
      </c>
      <c r="J293" s="7">
        <v>83157</v>
      </c>
      <c r="K293" s="7" t="s">
        <v>30</v>
      </c>
      <c r="L293" s="7" t="s">
        <v>938</v>
      </c>
      <c r="M293" s="7" t="s">
        <v>73</v>
      </c>
      <c r="N293" s="10" t="e">
        <f>VLOOKUP(G293,Departments!A292:C297,3,0)</f>
        <v>#N/A</v>
      </c>
      <c r="O293" s="13" t="e">
        <f>INDEX(Departments!C292:C297,MATCH(Employees!G293,Departments!A292:A297,0))</f>
        <v>#N/A</v>
      </c>
    </row>
    <row r="294" spans="1:15" x14ac:dyDescent="0.35">
      <c r="A294" s="6" t="s">
        <v>939</v>
      </c>
      <c r="B294" s="6" t="s">
        <v>75</v>
      </c>
      <c r="C294" s="6" t="s">
        <v>81</v>
      </c>
      <c r="D294" s="8" t="str">
        <f t="shared" si="4"/>
        <v>DAVID GHOSH</v>
      </c>
      <c r="E294" s="6" t="s">
        <v>64</v>
      </c>
      <c r="F294" s="6">
        <v>50</v>
      </c>
      <c r="G294" s="6" t="s">
        <v>52</v>
      </c>
      <c r="H294" s="6" t="s">
        <v>65</v>
      </c>
      <c r="I294" s="6" t="s">
        <v>940</v>
      </c>
      <c r="J294" s="6">
        <v>49330</v>
      </c>
      <c r="K294" s="6" t="s">
        <v>28</v>
      </c>
      <c r="L294" s="6" t="s">
        <v>941</v>
      </c>
      <c r="M294" s="6" t="s">
        <v>61</v>
      </c>
      <c r="N294" s="10" t="e">
        <f>VLOOKUP(G294,Departments!A293:C298,3,0)</f>
        <v>#N/A</v>
      </c>
      <c r="O294" s="13" t="e">
        <f>INDEX(Departments!C293:C298,MATCH(Employees!G294,Departments!A293:A298,0))</f>
        <v>#N/A</v>
      </c>
    </row>
    <row r="295" spans="1:15" x14ac:dyDescent="0.35">
      <c r="A295" s="7" t="s">
        <v>942</v>
      </c>
      <c r="B295" s="7" t="s">
        <v>55</v>
      </c>
      <c r="C295" s="7" t="s">
        <v>81</v>
      </c>
      <c r="D295" s="8" t="str">
        <f t="shared" si="4"/>
        <v>AMIT GHOSH</v>
      </c>
      <c r="E295" s="7" t="s">
        <v>64</v>
      </c>
      <c r="F295" s="7">
        <v>40</v>
      </c>
      <c r="G295" s="7" t="s">
        <v>51</v>
      </c>
      <c r="H295" s="7" t="s">
        <v>76</v>
      </c>
      <c r="I295" s="7" t="s">
        <v>943</v>
      </c>
      <c r="J295" s="7">
        <v>89213</v>
      </c>
      <c r="K295" s="7" t="s">
        <v>18</v>
      </c>
      <c r="L295" s="7" t="s">
        <v>944</v>
      </c>
      <c r="M295" s="7" t="s">
        <v>61</v>
      </c>
      <c r="N295" s="10" t="e">
        <f>VLOOKUP(G295,Departments!A294:C299,3,0)</f>
        <v>#N/A</v>
      </c>
      <c r="O295" s="13" t="e">
        <f>INDEX(Departments!C294:C299,MATCH(Employees!G295,Departments!A294:A299,0))</f>
        <v>#N/A</v>
      </c>
    </row>
    <row r="296" spans="1:15" x14ac:dyDescent="0.35">
      <c r="A296" s="6" t="s">
        <v>945</v>
      </c>
      <c r="B296" s="6" t="s">
        <v>175</v>
      </c>
      <c r="C296" s="6" t="s">
        <v>97</v>
      </c>
      <c r="D296" s="8" t="str">
        <f t="shared" si="4"/>
        <v>NEHA SINGH</v>
      </c>
      <c r="E296" s="6" t="s">
        <v>64</v>
      </c>
      <c r="F296" s="6">
        <v>29</v>
      </c>
      <c r="G296" s="6" t="s">
        <v>49</v>
      </c>
      <c r="H296" s="6" t="s">
        <v>70</v>
      </c>
      <c r="I296" s="6" t="s">
        <v>946</v>
      </c>
      <c r="J296" s="6">
        <v>75306</v>
      </c>
      <c r="K296" s="6" t="s">
        <v>28</v>
      </c>
      <c r="L296" s="6" t="s">
        <v>947</v>
      </c>
      <c r="M296" s="6" t="s">
        <v>73</v>
      </c>
      <c r="N296" s="10" t="e">
        <f>VLOOKUP(G296,Departments!A295:C300,3,0)</f>
        <v>#N/A</v>
      </c>
      <c r="O296" s="13" t="e">
        <f>INDEX(Departments!C295:C300,MATCH(Employees!G296,Departments!A295:A300,0))</f>
        <v>#N/A</v>
      </c>
    </row>
    <row r="297" spans="1:15" x14ac:dyDescent="0.35">
      <c r="A297" s="7" t="s">
        <v>948</v>
      </c>
      <c r="B297" s="7" t="s">
        <v>69</v>
      </c>
      <c r="C297" s="7" t="s">
        <v>127</v>
      </c>
      <c r="D297" s="8" t="str">
        <f t="shared" si="4"/>
        <v>ROHIT SMITH</v>
      </c>
      <c r="E297" s="7" t="s">
        <v>57</v>
      </c>
      <c r="F297" s="7">
        <v>33</v>
      </c>
      <c r="G297" s="7" t="s">
        <v>51</v>
      </c>
      <c r="H297" s="7" t="s">
        <v>65</v>
      </c>
      <c r="I297" s="7" t="s">
        <v>949</v>
      </c>
      <c r="J297" s="7">
        <v>88151</v>
      </c>
      <c r="K297" s="7" t="s">
        <v>37</v>
      </c>
      <c r="L297" s="7" t="s">
        <v>950</v>
      </c>
      <c r="M297" s="7" t="s">
        <v>73</v>
      </c>
      <c r="N297" s="10" t="e">
        <f>VLOOKUP(G297,Departments!A296:C301,3,0)</f>
        <v>#N/A</v>
      </c>
      <c r="O297" s="13" t="e">
        <f>INDEX(Departments!C296:C301,MATCH(Employees!G297,Departments!A296:A301,0))</f>
        <v>#N/A</v>
      </c>
    </row>
    <row r="298" spans="1:15" x14ac:dyDescent="0.35">
      <c r="A298" s="6" t="s">
        <v>951</v>
      </c>
      <c r="B298" s="6" t="s">
        <v>55</v>
      </c>
      <c r="C298" s="6" t="s">
        <v>111</v>
      </c>
      <c r="D298" s="8" t="str">
        <f t="shared" si="4"/>
        <v>AMIT KHAN</v>
      </c>
      <c r="E298" s="6" t="s">
        <v>64</v>
      </c>
      <c r="F298" s="6">
        <v>36</v>
      </c>
      <c r="G298" s="6" t="s">
        <v>52</v>
      </c>
      <c r="H298" s="6" t="s">
        <v>70</v>
      </c>
      <c r="I298" s="6" t="s">
        <v>952</v>
      </c>
      <c r="J298" s="6">
        <v>112274</v>
      </c>
      <c r="K298" s="6" t="s">
        <v>13</v>
      </c>
      <c r="L298" s="6" t="s">
        <v>953</v>
      </c>
      <c r="M298" s="6" t="s">
        <v>73</v>
      </c>
      <c r="N298" s="10" t="e">
        <f>VLOOKUP(G298,Departments!A297:C302,3,0)</f>
        <v>#N/A</v>
      </c>
      <c r="O298" s="13" t="e">
        <f>INDEX(Departments!C297:C302,MATCH(Employees!G298,Departments!A297:A302,0))</f>
        <v>#N/A</v>
      </c>
    </row>
    <row r="299" spans="1:15" x14ac:dyDescent="0.35">
      <c r="A299" s="7" t="s">
        <v>954</v>
      </c>
      <c r="B299" s="7" t="s">
        <v>104</v>
      </c>
      <c r="C299" s="7" t="s">
        <v>56</v>
      </c>
      <c r="D299" s="8" t="str">
        <f t="shared" si="4"/>
        <v>ANITA DUTTA</v>
      </c>
      <c r="E299" s="7" t="s">
        <v>57</v>
      </c>
      <c r="F299" s="7">
        <v>39</v>
      </c>
      <c r="G299" s="7" t="s">
        <v>49</v>
      </c>
      <c r="H299" s="7" t="s">
        <v>76</v>
      </c>
      <c r="I299" s="7" t="s">
        <v>955</v>
      </c>
      <c r="J299" s="7">
        <v>55507</v>
      </c>
      <c r="K299" s="7" t="s">
        <v>37</v>
      </c>
      <c r="L299" s="7" t="s">
        <v>956</v>
      </c>
      <c r="M299" s="7" t="s">
        <v>61</v>
      </c>
      <c r="N299" s="10" t="e">
        <f>VLOOKUP(G299,Departments!A298:C303,3,0)</f>
        <v>#N/A</v>
      </c>
      <c r="O299" s="13" t="e">
        <f>INDEX(Departments!C298:C303,MATCH(Employees!G299,Departments!A298:A303,0))</f>
        <v>#N/A</v>
      </c>
    </row>
    <row r="300" spans="1:15" x14ac:dyDescent="0.35">
      <c r="A300" s="6" t="s">
        <v>957</v>
      </c>
      <c r="B300" s="6" t="s">
        <v>69</v>
      </c>
      <c r="C300" s="6" t="s">
        <v>127</v>
      </c>
      <c r="D300" s="8" t="str">
        <f t="shared" si="4"/>
        <v>ROHIT SMITH</v>
      </c>
      <c r="E300" s="6" t="s">
        <v>57</v>
      </c>
      <c r="F300" s="6">
        <v>24</v>
      </c>
      <c r="G300" s="6" t="s">
        <v>50</v>
      </c>
      <c r="H300" s="6" t="s">
        <v>58</v>
      </c>
      <c r="I300" s="6" t="s">
        <v>958</v>
      </c>
      <c r="J300" s="6">
        <v>66638</v>
      </c>
      <c r="K300" s="6" t="s">
        <v>28</v>
      </c>
      <c r="L300" s="6" t="s">
        <v>959</v>
      </c>
      <c r="M300" s="6" t="s">
        <v>61</v>
      </c>
      <c r="N300" s="10" t="e">
        <f>VLOOKUP(G300,Departments!A299:C304,3,0)</f>
        <v>#N/A</v>
      </c>
      <c r="O300" s="13" t="e">
        <f>INDEX(Departments!C299:C304,MATCH(Employees!G300,Departments!A299:A304,0))</f>
        <v>#N/A</v>
      </c>
    </row>
    <row r="301" spans="1:15" x14ac:dyDescent="0.35">
      <c r="A301" s="7" t="s">
        <v>960</v>
      </c>
      <c r="B301" s="7" t="s">
        <v>80</v>
      </c>
      <c r="C301" s="7" t="s">
        <v>111</v>
      </c>
      <c r="D301" s="8" t="str">
        <f t="shared" si="4"/>
        <v>JANE KHAN</v>
      </c>
      <c r="E301" s="7" t="s">
        <v>57</v>
      </c>
      <c r="F301" s="7">
        <v>51</v>
      </c>
      <c r="G301" s="7" t="s">
        <v>49</v>
      </c>
      <c r="H301" s="7" t="s">
        <v>140</v>
      </c>
      <c r="I301" s="7" t="s">
        <v>961</v>
      </c>
      <c r="J301" s="7">
        <v>43356</v>
      </c>
      <c r="K301" s="7" t="s">
        <v>28</v>
      </c>
      <c r="L301" s="7" t="s">
        <v>962</v>
      </c>
      <c r="M301" s="7" t="s">
        <v>61</v>
      </c>
      <c r="N301" s="10" t="e">
        <f>VLOOKUP(G301,Departments!A300:C305,3,0)</f>
        <v>#N/A</v>
      </c>
      <c r="O301" s="13" t="e">
        <f>INDEX(Departments!C300:C305,MATCH(Employees!G301,Departments!A300:A305,0))</f>
        <v>#N/A</v>
      </c>
    </row>
    <row r="302" spans="1:15" x14ac:dyDescent="0.35">
      <c r="A302" s="6" t="s">
        <v>963</v>
      </c>
      <c r="B302" s="6" t="s">
        <v>75</v>
      </c>
      <c r="C302" s="6" t="s">
        <v>162</v>
      </c>
      <c r="D302" s="8" t="str">
        <f t="shared" si="4"/>
        <v>DAVID DAS</v>
      </c>
      <c r="E302" s="6" t="s">
        <v>57</v>
      </c>
      <c r="F302" s="6">
        <v>44</v>
      </c>
      <c r="G302" s="6" t="s">
        <v>52</v>
      </c>
      <c r="H302" s="6" t="s">
        <v>76</v>
      </c>
      <c r="I302" s="6" t="s">
        <v>964</v>
      </c>
      <c r="J302" s="6">
        <v>82425</v>
      </c>
      <c r="K302" s="6" t="s">
        <v>37</v>
      </c>
      <c r="L302" s="6" t="s">
        <v>965</v>
      </c>
      <c r="M302" s="6" t="s">
        <v>61</v>
      </c>
      <c r="N302" s="10" t="e">
        <f>VLOOKUP(G302,Departments!A301:C306,3,0)</f>
        <v>#N/A</v>
      </c>
      <c r="O302" s="13" t="e">
        <f>INDEX(Departments!C301:C306,MATCH(Employees!G302,Departments!A301:A306,0))</f>
        <v>#N/A</v>
      </c>
    </row>
    <row r="303" spans="1:15" x14ac:dyDescent="0.35">
      <c r="A303" s="7" t="s">
        <v>966</v>
      </c>
      <c r="B303" s="7" t="s">
        <v>80</v>
      </c>
      <c r="C303" s="7" t="s">
        <v>63</v>
      </c>
      <c r="D303" s="8" t="str">
        <f t="shared" si="4"/>
        <v>JANE ROY</v>
      </c>
      <c r="E303" s="7" t="s">
        <v>57</v>
      </c>
      <c r="F303" s="7">
        <v>23</v>
      </c>
      <c r="G303" s="7" t="s">
        <v>53</v>
      </c>
      <c r="H303" s="7" t="s">
        <v>76</v>
      </c>
      <c r="I303" s="7" t="s">
        <v>447</v>
      </c>
      <c r="J303" s="7">
        <v>79670</v>
      </c>
      <c r="K303" s="7" t="s">
        <v>37</v>
      </c>
      <c r="L303" s="7" t="s">
        <v>967</v>
      </c>
      <c r="M303" s="7" t="s">
        <v>73</v>
      </c>
      <c r="N303" s="10" t="e">
        <f>VLOOKUP(G303,Departments!A302:C307,3,0)</f>
        <v>#N/A</v>
      </c>
      <c r="O303" s="13" t="e">
        <f>INDEX(Departments!C302:C307,MATCH(Employees!G303,Departments!A302:A307,0))</f>
        <v>#N/A</v>
      </c>
    </row>
    <row r="304" spans="1:15" x14ac:dyDescent="0.35">
      <c r="A304" s="6" t="s">
        <v>968</v>
      </c>
      <c r="B304" s="6" t="s">
        <v>55</v>
      </c>
      <c r="C304" s="6" t="s">
        <v>56</v>
      </c>
      <c r="D304" s="8" t="str">
        <f t="shared" si="4"/>
        <v>AMIT DUTTA</v>
      </c>
      <c r="E304" s="6" t="s">
        <v>64</v>
      </c>
      <c r="F304" s="6">
        <v>58</v>
      </c>
      <c r="G304" s="6" t="s">
        <v>50</v>
      </c>
      <c r="H304" s="6" t="s">
        <v>70</v>
      </c>
      <c r="I304" s="6" t="s">
        <v>969</v>
      </c>
      <c r="J304" s="6">
        <v>85427</v>
      </c>
      <c r="K304" s="6" t="s">
        <v>28</v>
      </c>
      <c r="L304" s="6" t="s">
        <v>970</v>
      </c>
      <c r="M304" s="6" t="s">
        <v>73</v>
      </c>
      <c r="N304" s="10" t="e">
        <f>VLOOKUP(G304,Departments!A303:C308,3,0)</f>
        <v>#N/A</v>
      </c>
      <c r="O304" s="13" t="e">
        <f>INDEX(Departments!C303:C308,MATCH(Employees!G304,Departments!A303:A308,0))</f>
        <v>#N/A</v>
      </c>
    </row>
    <row r="305" spans="1:15" x14ac:dyDescent="0.35">
      <c r="A305" s="7" t="s">
        <v>971</v>
      </c>
      <c r="B305" s="7" t="s">
        <v>175</v>
      </c>
      <c r="C305" s="7" t="s">
        <v>127</v>
      </c>
      <c r="D305" s="8" t="str">
        <f t="shared" si="4"/>
        <v>NEHA SMITH</v>
      </c>
      <c r="E305" s="7" t="s">
        <v>57</v>
      </c>
      <c r="F305" s="7">
        <v>25</v>
      </c>
      <c r="G305" s="7" t="s">
        <v>51</v>
      </c>
      <c r="H305" s="7" t="s">
        <v>140</v>
      </c>
      <c r="I305" s="7" t="s">
        <v>972</v>
      </c>
      <c r="J305" s="7">
        <v>76975</v>
      </c>
      <c r="K305" s="7" t="s">
        <v>18</v>
      </c>
      <c r="L305" s="7" t="s">
        <v>973</v>
      </c>
      <c r="M305" s="7" t="s">
        <v>61</v>
      </c>
      <c r="N305" s="10" t="e">
        <f>VLOOKUP(G305,Departments!A304:C309,3,0)</f>
        <v>#N/A</v>
      </c>
      <c r="O305" s="13" t="e">
        <f>INDEX(Departments!C304:C309,MATCH(Employees!G305,Departments!A304:A309,0))</f>
        <v>#N/A</v>
      </c>
    </row>
    <row r="306" spans="1:15" x14ac:dyDescent="0.35">
      <c r="A306" s="6" t="s">
        <v>974</v>
      </c>
      <c r="B306" s="6" t="s">
        <v>75</v>
      </c>
      <c r="C306" s="6" t="s">
        <v>81</v>
      </c>
      <c r="D306" s="8" t="str">
        <f t="shared" si="4"/>
        <v>DAVID GHOSH</v>
      </c>
      <c r="E306" s="6" t="s">
        <v>57</v>
      </c>
      <c r="F306" s="6">
        <v>40</v>
      </c>
      <c r="G306" s="6" t="s">
        <v>49</v>
      </c>
      <c r="H306" s="6" t="s">
        <v>76</v>
      </c>
      <c r="I306" s="6" t="s">
        <v>975</v>
      </c>
      <c r="J306" s="6">
        <v>52019</v>
      </c>
      <c r="K306" s="6" t="s">
        <v>37</v>
      </c>
      <c r="L306" s="6" t="s">
        <v>976</v>
      </c>
      <c r="M306" s="6" t="s">
        <v>61</v>
      </c>
      <c r="N306" s="10" t="e">
        <f>VLOOKUP(G306,Departments!A305:C310,3,0)</f>
        <v>#N/A</v>
      </c>
      <c r="O306" s="13" t="e">
        <f>INDEX(Departments!C305:C310,MATCH(Employees!G306,Departments!A305:A310,0))</f>
        <v>#N/A</v>
      </c>
    </row>
    <row r="307" spans="1:15" x14ac:dyDescent="0.35">
      <c r="A307" s="7" t="s">
        <v>977</v>
      </c>
      <c r="B307" s="7" t="s">
        <v>93</v>
      </c>
      <c r="C307" s="7" t="s">
        <v>162</v>
      </c>
      <c r="D307" s="8" t="str">
        <f t="shared" si="4"/>
        <v>JOHN DAS</v>
      </c>
      <c r="E307" s="7" t="s">
        <v>57</v>
      </c>
      <c r="F307" s="7">
        <v>22</v>
      </c>
      <c r="G307" s="7" t="s">
        <v>49</v>
      </c>
      <c r="H307" s="7" t="s">
        <v>140</v>
      </c>
      <c r="I307" s="7" t="s">
        <v>978</v>
      </c>
      <c r="J307" s="7">
        <v>89336</v>
      </c>
      <c r="K307" s="7" t="s">
        <v>28</v>
      </c>
      <c r="L307" s="7" t="s">
        <v>979</v>
      </c>
      <c r="M307" s="7" t="s">
        <v>61</v>
      </c>
      <c r="N307" s="10" t="e">
        <f>VLOOKUP(G307,Departments!A306:C311,3,0)</f>
        <v>#N/A</v>
      </c>
      <c r="O307" s="13" t="e">
        <f>INDEX(Departments!C306:C311,MATCH(Employees!G307,Departments!A306:A311,0))</f>
        <v>#N/A</v>
      </c>
    </row>
    <row r="308" spans="1:15" x14ac:dyDescent="0.35">
      <c r="A308" s="6" t="s">
        <v>980</v>
      </c>
      <c r="B308" s="6" t="s">
        <v>75</v>
      </c>
      <c r="C308" s="6" t="s">
        <v>111</v>
      </c>
      <c r="D308" s="8" t="str">
        <f t="shared" si="4"/>
        <v>DAVID KHAN</v>
      </c>
      <c r="E308" s="6" t="s">
        <v>64</v>
      </c>
      <c r="F308" s="6">
        <v>41</v>
      </c>
      <c r="G308" s="6" t="s">
        <v>50</v>
      </c>
      <c r="H308" s="6" t="s">
        <v>70</v>
      </c>
      <c r="I308" s="6" t="s">
        <v>981</v>
      </c>
      <c r="J308" s="6">
        <v>81363</v>
      </c>
      <c r="K308" s="6" t="s">
        <v>13</v>
      </c>
      <c r="L308" s="6" t="s">
        <v>982</v>
      </c>
      <c r="M308" s="6" t="s">
        <v>73</v>
      </c>
      <c r="N308" s="10" t="e">
        <f>VLOOKUP(G308,Departments!A307:C312,3,0)</f>
        <v>#N/A</v>
      </c>
      <c r="O308" s="13" t="e">
        <f>INDEX(Departments!C307:C312,MATCH(Employees!G308,Departments!A307:A312,0))</f>
        <v>#N/A</v>
      </c>
    </row>
    <row r="309" spans="1:15" x14ac:dyDescent="0.35">
      <c r="A309" s="7" t="s">
        <v>983</v>
      </c>
      <c r="B309" s="7" t="s">
        <v>85</v>
      </c>
      <c r="C309" s="7" t="s">
        <v>115</v>
      </c>
      <c r="D309" s="8" t="str">
        <f t="shared" si="4"/>
        <v>RAHUL SEN</v>
      </c>
      <c r="E309" s="7" t="s">
        <v>64</v>
      </c>
      <c r="F309" s="7">
        <v>45</v>
      </c>
      <c r="G309" s="7" t="s">
        <v>50</v>
      </c>
      <c r="H309" s="7" t="s">
        <v>58</v>
      </c>
      <c r="I309" s="7" t="s">
        <v>984</v>
      </c>
      <c r="J309" s="7">
        <v>74751</v>
      </c>
      <c r="K309" s="7" t="s">
        <v>13</v>
      </c>
      <c r="L309" s="7" t="s">
        <v>985</v>
      </c>
      <c r="M309" s="7" t="s">
        <v>61</v>
      </c>
      <c r="N309" s="10" t="e">
        <f>VLOOKUP(G309,Departments!A308:C313,3,0)</f>
        <v>#N/A</v>
      </c>
      <c r="O309" s="13" t="e">
        <f>INDEX(Departments!C308:C313,MATCH(Employees!G309,Departments!A308:A313,0))</f>
        <v>#N/A</v>
      </c>
    </row>
    <row r="310" spans="1:15" x14ac:dyDescent="0.35">
      <c r="A310" s="6" t="s">
        <v>986</v>
      </c>
      <c r="B310" s="6" t="s">
        <v>175</v>
      </c>
      <c r="C310" s="6" t="s">
        <v>97</v>
      </c>
      <c r="D310" s="8" t="str">
        <f t="shared" si="4"/>
        <v>NEHA SINGH</v>
      </c>
      <c r="E310" s="6" t="s">
        <v>57</v>
      </c>
      <c r="F310" s="6">
        <v>55</v>
      </c>
      <c r="G310" s="6" t="s">
        <v>50</v>
      </c>
      <c r="H310" s="6" t="s">
        <v>76</v>
      </c>
      <c r="I310" s="6" t="s">
        <v>225</v>
      </c>
      <c r="J310" s="6">
        <v>75014</v>
      </c>
      <c r="K310" s="6" t="s">
        <v>28</v>
      </c>
      <c r="L310" s="6" t="s">
        <v>987</v>
      </c>
      <c r="M310" s="6" t="s">
        <v>61</v>
      </c>
      <c r="N310" s="10" t="e">
        <f>VLOOKUP(G310,Departments!A309:C314,3,0)</f>
        <v>#N/A</v>
      </c>
      <c r="O310" s="13" t="e">
        <f>INDEX(Departments!C309:C314,MATCH(Employees!G310,Departments!A309:A314,0))</f>
        <v>#N/A</v>
      </c>
    </row>
    <row r="311" spans="1:15" x14ac:dyDescent="0.35">
      <c r="A311" s="7" t="s">
        <v>988</v>
      </c>
      <c r="B311" s="7" t="s">
        <v>89</v>
      </c>
      <c r="C311" s="7" t="s">
        <v>97</v>
      </c>
      <c r="D311" s="8" t="str">
        <f t="shared" si="4"/>
        <v>SARA SINGH</v>
      </c>
      <c r="E311" s="7" t="s">
        <v>57</v>
      </c>
      <c r="F311" s="7">
        <v>55</v>
      </c>
      <c r="G311" s="7" t="s">
        <v>53</v>
      </c>
      <c r="H311" s="7" t="s">
        <v>65</v>
      </c>
      <c r="I311" s="7" t="s">
        <v>989</v>
      </c>
      <c r="J311" s="7">
        <v>98004</v>
      </c>
      <c r="K311" s="7" t="s">
        <v>13</v>
      </c>
      <c r="L311" s="7" t="s">
        <v>990</v>
      </c>
      <c r="M311" s="7" t="s">
        <v>73</v>
      </c>
      <c r="N311" s="10" t="e">
        <f>VLOOKUP(G311,Departments!A310:C315,3,0)</f>
        <v>#N/A</v>
      </c>
      <c r="O311" s="13" t="e">
        <f>INDEX(Departments!C310:C315,MATCH(Employees!G311,Departments!A310:A315,0))</f>
        <v>#N/A</v>
      </c>
    </row>
    <row r="312" spans="1:15" x14ac:dyDescent="0.35">
      <c r="A312" s="6" t="s">
        <v>991</v>
      </c>
      <c r="B312" s="6" t="s">
        <v>89</v>
      </c>
      <c r="C312" s="6" t="s">
        <v>63</v>
      </c>
      <c r="D312" s="8" t="str">
        <f t="shared" si="4"/>
        <v>SARA ROY</v>
      </c>
      <c r="E312" s="6" t="s">
        <v>57</v>
      </c>
      <c r="F312" s="6">
        <v>27</v>
      </c>
      <c r="G312" s="6" t="s">
        <v>50</v>
      </c>
      <c r="H312" s="6" t="s">
        <v>58</v>
      </c>
      <c r="I312" s="6" t="s">
        <v>498</v>
      </c>
      <c r="J312" s="6">
        <v>86048</v>
      </c>
      <c r="K312" s="6" t="s">
        <v>30</v>
      </c>
      <c r="L312" s="6" t="s">
        <v>992</v>
      </c>
      <c r="M312" s="6" t="s">
        <v>61</v>
      </c>
      <c r="N312" s="10" t="e">
        <f>VLOOKUP(G312,Departments!A311:C316,3,0)</f>
        <v>#N/A</v>
      </c>
      <c r="O312" s="13" t="e">
        <f>INDEX(Departments!C311:C316,MATCH(Employees!G312,Departments!A311:A316,0))</f>
        <v>#N/A</v>
      </c>
    </row>
    <row r="313" spans="1:15" x14ac:dyDescent="0.35">
      <c r="A313" s="7" t="s">
        <v>993</v>
      </c>
      <c r="B313" s="7" t="s">
        <v>175</v>
      </c>
      <c r="C313" s="7" t="s">
        <v>197</v>
      </c>
      <c r="D313" s="8" t="str">
        <f t="shared" si="4"/>
        <v>NEHA BROWN</v>
      </c>
      <c r="E313" s="7" t="s">
        <v>64</v>
      </c>
      <c r="F313" s="7">
        <v>47</v>
      </c>
      <c r="G313" s="7" t="s">
        <v>52</v>
      </c>
      <c r="H313" s="7" t="s">
        <v>70</v>
      </c>
      <c r="I313" s="7" t="s">
        <v>994</v>
      </c>
      <c r="J313" s="7">
        <v>105072</v>
      </c>
      <c r="K313" s="7" t="s">
        <v>18</v>
      </c>
      <c r="L313" s="7" t="s">
        <v>995</v>
      </c>
      <c r="M313" s="7" t="s">
        <v>73</v>
      </c>
      <c r="N313" s="10" t="e">
        <f>VLOOKUP(G313,Departments!A312:C317,3,0)</f>
        <v>#N/A</v>
      </c>
      <c r="O313" s="13" t="e">
        <f>INDEX(Departments!C312:C317,MATCH(Employees!G313,Departments!A312:A317,0))</f>
        <v>#N/A</v>
      </c>
    </row>
    <row r="314" spans="1:15" x14ac:dyDescent="0.35">
      <c r="A314" s="6" t="s">
        <v>996</v>
      </c>
      <c r="B314" s="6" t="s">
        <v>80</v>
      </c>
      <c r="C314" s="6" t="s">
        <v>197</v>
      </c>
      <c r="D314" s="8" t="str">
        <f t="shared" si="4"/>
        <v>JANE BROWN</v>
      </c>
      <c r="E314" s="6" t="s">
        <v>64</v>
      </c>
      <c r="F314" s="6">
        <v>24</v>
      </c>
      <c r="G314" s="6" t="s">
        <v>53</v>
      </c>
      <c r="H314" s="6" t="s">
        <v>58</v>
      </c>
      <c r="I314" s="6" t="s">
        <v>997</v>
      </c>
      <c r="J314" s="6">
        <v>54389</v>
      </c>
      <c r="K314" s="6" t="s">
        <v>18</v>
      </c>
      <c r="L314" s="6" t="s">
        <v>998</v>
      </c>
      <c r="M314" s="6" t="s">
        <v>73</v>
      </c>
      <c r="N314" s="10" t="e">
        <f>VLOOKUP(G314,Departments!A313:C318,3,0)</f>
        <v>#N/A</v>
      </c>
      <c r="O314" s="13" t="e">
        <f>INDEX(Departments!C313:C318,MATCH(Employees!G314,Departments!A313:A318,0))</f>
        <v>#N/A</v>
      </c>
    </row>
    <row r="315" spans="1:15" x14ac:dyDescent="0.35">
      <c r="A315" s="7" t="s">
        <v>999</v>
      </c>
      <c r="B315" s="7" t="s">
        <v>69</v>
      </c>
      <c r="C315" s="7" t="s">
        <v>63</v>
      </c>
      <c r="D315" s="8" t="str">
        <f t="shared" si="4"/>
        <v>ROHIT ROY</v>
      </c>
      <c r="E315" s="7" t="s">
        <v>57</v>
      </c>
      <c r="F315" s="7">
        <v>58</v>
      </c>
      <c r="G315" s="7" t="s">
        <v>50</v>
      </c>
      <c r="H315" s="7" t="s">
        <v>58</v>
      </c>
      <c r="I315" s="7" t="s">
        <v>1000</v>
      </c>
      <c r="J315" s="7">
        <v>48029</v>
      </c>
      <c r="K315" s="7" t="s">
        <v>18</v>
      </c>
      <c r="L315" s="7" t="s">
        <v>1001</v>
      </c>
      <c r="M315" s="7" t="s">
        <v>61</v>
      </c>
      <c r="N315" s="10" t="e">
        <f>VLOOKUP(G315,Departments!A314:C319,3,0)</f>
        <v>#N/A</v>
      </c>
      <c r="O315" s="13" t="e">
        <f>INDEX(Departments!C314:C319,MATCH(Employees!G315,Departments!A314:A319,0))</f>
        <v>#N/A</v>
      </c>
    </row>
    <row r="316" spans="1:15" x14ac:dyDescent="0.35">
      <c r="A316" s="6" t="s">
        <v>1002</v>
      </c>
      <c r="B316" s="6" t="s">
        <v>55</v>
      </c>
      <c r="C316" s="6" t="s">
        <v>197</v>
      </c>
      <c r="D316" s="8" t="str">
        <f t="shared" si="4"/>
        <v>AMIT BROWN</v>
      </c>
      <c r="E316" s="6" t="s">
        <v>57</v>
      </c>
      <c r="F316" s="6">
        <v>45</v>
      </c>
      <c r="G316" s="6" t="s">
        <v>50</v>
      </c>
      <c r="H316" s="6" t="s">
        <v>58</v>
      </c>
      <c r="I316" s="6" t="s">
        <v>1003</v>
      </c>
      <c r="J316" s="6">
        <v>98879</v>
      </c>
      <c r="K316" s="6" t="s">
        <v>28</v>
      </c>
      <c r="L316" s="6" t="s">
        <v>1004</v>
      </c>
      <c r="M316" s="6" t="s">
        <v>61</v>
      </c>
      <c r="N316" s="10" t="e">
        <f>VLOOKUP(G316,Departments!A315:C320,3,0)</f>
        <v>#N/A</v>
      </c>
      <c r="O316" s="13" t="e">
        <f>INDEX(Departments!C315:C320,MATCH(Employees!G316,Departments!A315:A320,0))</f>
        <v>#N/A</v>
      </c>
    </row>
    <row r="317" spans="1:15" x14ac:dyDescent="0.35">
      <c r="A317" s="7" t="s">
        <v>1005</v>
      </c>
      <c r="B317" s="7" t="s">
        <v>89</v>
      </c>
      <c r="C317" s="7" t="s">
        <v>162</v>
      </c>
      <c r="D317" s="8" t="str">
        <f t="shared" si="4"/>
        <v>SARA DAS</v>
      </c>
      <c r="E317" s="7" t="s">
        <v>57</v>
      </c>
      <c r="F317" s="7">
        <v>41</v>
      </c>
      <c r="G317" s="7" t="s">
        <v>53</v>
      </c>
      <c r="H317" s="7" t="s">
        <v>76</v>
      </c>
      <c r="I317" s="7" t="s">
        <v>1006</v>
      </c>
      <c r="J317" s="7">
        <v>41158</v>
      </c>
      <c r="K317" s="7" t="s">
        <v>30</v>
      </c>
      <c r="L317" s="7" t="s">
        <v>1007</v>
      </c>
      <c r="M317" s="7" t="s">
        <v>73</v>
      </c>
      <c r="N317" s="10" t="e">
        <f>VLOOKUP(G317,Departments!A316:C321,3,0)</f>
        <v>#N/A</v>
      </c>
      <c r="O317" s="13" t="e">
        <f>INDEX(Departments!C316:C321,MATCH(Employees!G317,Departments!A316:A321,0))</f>
        <v>#N/A</v>
      </c>
    </row>
    <row r="318" spans="1:15" x14ac:dyDescent="0.35">
      <c r="A318" s="6" t="s">
        <v>1008</v>
      </c>
      <c r="B318" s="6" t="s">
        <v>89</v>
      </c>
      <c r="C318" s="6" t="s">
        <v>63</v>
      </c>
      <c r="D318" s="8" t="str">
        <f t="shared" si="4"/>
        <v>SARA ROY</v>
      </c>
      <c r="E318" s="6" t="s">
        <v>64</v>
      </c>
      <c r="F318" s="6">
        <v>31</v>
      </c>
      <c r="G318" s="6" t="s">
        <v>52</v>
      </c>
      <c r="H318" s="6" t="s">
        <v>65</v>
      </c>
      <c r="I318" s="6" t="s">
        <v>1009</v>
      </c>
      <c r="J318" s="6">
        <v>57027</v>
      </c>
      <c r="K318" s="6" t="s">
        <v>18</v>
      </c>
      <c r="L318" s="6" t="s">
        <v>1010</v>
      </c>
      <c r="M318" s="6" t="s">
        <v>73</v>
      </c>
      <c r="N318" s="10" t="e">
        <f>VLOOKUP(G318,Departments!A317:C322,3,0)</f>
        <v>#N/A</v>
      </c>
      <c r="O318" s="13" t="e">
        <f>INDEX(Departments!C317:C322,MATCH(Employees!G318,Departments!A317:A322,0))</f>
        <v>#N/A</v>
      </c>
    </row>
    <row r="319" spans="1:15" x14ac:dyDescent="0.35">
      <c r="A319" s="7" t="s">
        <v>1011</v>
      </c>
      <c r="B319" s="7" t="s">
        <v>175</v>
      </c>
      <c r="C319" s="7" t="s">
        <v>162</v>
      </c>
      <c r="D319" s="8" t="str">
        <f t="shared" si="4"/>
        <v>NEHA DAS</v>
      </c>
      <c r="E319" s="7" t="s">
        <v>57</v>
      </c>
      <c r="F319" s="7">
        <v>24</v>
      </c>
      <c r="G319" s="7" t="s">
        <v>52</v>
      </c>
      <c r="H319" s="7" t="s">
        <v>65</v>
      </c>
      <c r="I319" s="7" t="s">
        <v>1012</v>
      </c>
      <c r="J319" s="7">
        <v>56782</v>
      </c>
      <c r="K319" s="7" t="s">
        <v>18</v>
      </c>
      <c r="L319" s="7" t="s">
        <v>1013</v>
      </c>
      <c r="M319" s="7" t="s">
        <v>61</v>
      </c>
      <c r="N319" s="10" t="e">
        <f>VLOOKUP(G319,Departments!A318:C323,3,0)</f>
        <v>#N/A</v>
      </c>
      <c r="O319" s="13" t="e">
        <f>INDEX(Departments!C318:C323,MATCH(Employees!G319,Departments!A318:A323,0))</f>
        <v>#N/A</v>
      </c>
    </row>
    <row r="320" spans="1:15" x14ac:dyDescent="0.35">
      <c r="A320" s="6" t="s">
        <v>1014</v>
      </c>
      <c r="B320" s="6" t="s">
        <v>75</v>
      </c>
      <c r="C320" s="6" t="s">
        <v>127</v>
      </c>
      <c r="D320" s="8" t="str">
        <f t="shared" si="4"/>
        <v>DAVID SMITH</v>
      </c>
      <c r="E320" s="6" t="s">
        <v>57</v>
      </c>
      <c r="F320" s="6">
        <v>53</v>
      </c>
      <c r="G320" s="6" t="s">
        <v>52</v>
      </c>
      <c r="H320" s="6" t="s">
        <v>58</v>
      </c>
      <c r="I320" s="6" t="s">
        <v>1015</v>
      </c>
      <c r="J320" s="6">
        <v>50653</v>
      </c>
      <c r="K320" s="6" t="s">
        <v>30</v>
      </c>
      <c r="L320" s="6" t="s">
        <v>1016</v>
      </c>
      <c r="M320" s="6" t="s">
        <v>73</v>
      </c>
      <c r="N320" s="10" t="e">
        <f>VLOOKUP(G320,Departments!A319:C324,3,0)</f>
        <v>#N/A</v>
      </c>
      <c r="O320" s="13" t="e">
        <f>INDEX(Departments!C319:C324,MATCH(Employees!G320,Departments!A319:A324,0))</f>
        <v>#N/A</v>
      </c>
    </row>
    <row r="321" spans="1:15" x14ac:dyDescent="0.35">
      <c r="A321" s="7" t="s">
        <v>1017</v>
      </c>
      <c r="B321" s="7" t="s">
        <v>75</v>
      </c>
      <c r="C321" s="7" t="s">
        <v>115</v>
      </c>
      <c r="D321" s="8" t="str">
        <f t="shared" si="4"/>
        <v>DAVID SEN</v>
      </c>
      <c r="E321" s="7" t="s">
        <v>57</v>
      </c>
      <c r="F321" s="7">
        <v>37</v>
      </c>
      <c r="G321" s="7" t="s">
        <v>49</v>
      </c>
      <c r="H321" s="7" t="s">
        <v>76</v>
      </c>
      <c r="I321" s="7" t="s">
        <v>507</v>
      </c>
      <c r="J321" s="7">
        <v>104915</v>
      </c>
      <c r="K321" s="7" t="s">
        <v>37</v>
      </c>
      <c r="L321" s="7" t="s">
        <v>1018</v>
      </c>
      <c r="M321" s="7" t="s">
        <v>73</v>
      </c>
      <c r="N321" s="10" t="e">
        <f>VLOOKUP(G321,Departments!A320:C325,3,0)</f>
        <v>#N/A</v>
      </c>
      <c r="O321" s="13" t="e">
        <f>INDEX(Departments!C320:C325,MATCH(Employees!G321,Departments!A320:A325,0))</f>
        <v>#N/A</v>
      </c>
    </row>
    <row r="322" spans="1:15" x14ac:dyDescent="0.35">
      <c r="A322" s="6" t="s">
        <v>1019</v>
      </c>
      <c r="B322" s="6" t="s">
        <v>80</v>
      </c>
      <c r="C322" s="6" t="s">
        <v>127</v>
      </c>
      <c r="D322" s="8" t="str">
        <f t="shared" si="4"/>
        <v>JANE SMITH</v>
      </c>
      <c r="E322" s="6" t="s">
        <v>64</v>
      </c>
      <c r="F322" s="6">
        <v>43</v>
      </c>
      <c r="G322" s="6" t="s">
        <v>52</v>
      </c>
      <c r="H322" s="6" t="s">
        <v>76</v>
      </c>
      <c r="I322" s="6" t="s">
        <v>1020</v>
      </c>
      <c r="J322" s="6">
        <v>87776</v>
      </c>
      <c r="K322" s="6" t="s">
        <v>37</v>
      </c>
      <c r="L322" s="6" t="s">
        <v>1021</v>
      </c>
      <c r="M322" s="6" t="s">
        <v>73</v>
      </c>
      <c r="N322" s="10" t="e">
        <f>VLOOKUP(G322,Departments!A321:C326,3,0)</f>
        <v>#N/A</v>
      </c>
      <c r="O322" s="13" t="e">
        <f>INDEX(Departments!C321:C326,MATCH(Employees!G322,Departments!A321:A326,0))</f>
        <v>#N/A</v>
      </c>
    </row>
    <row r="323" spans="1:15" x14ac:dyDescent="0.35">
      <c r="A323" s="7" t="s">
        <v>1022</v>
      </c>
      <c r="B323" s="7" t="s">
        <v>93</v>
      </c>
      <c r="C323" s="7" t="s">
        <v>162</v>
      </c>
      <c r="D323" s="8" t="str">
        <f t="shared" ref="D323:D386" si="5">UPPER(_xlfn.CONCAT(B323," ",C323))</f>
        <v>JOHN DAS</v>
      </c>
      <c r="E323" s="7" t="s">
        <v>57</v>
      </c>
      <c r="F323" s="7">
        <v>49</v>
      </c>
      <c r="G323" s="7" t="s">
        <v>53</v>
      </c>
      <c r="H323" s="7" t="s">
        <v>70</v>
      </c>
      <c r="I323" s="7" t="s">
        <v>1023</v>
      </c>
      <c r="J323" s="7">
        <v>52338</v>
      </c>
      <c r="K323" s="7" t="s">
        <v>13</v>
      </c>
      <c r="L323" s="7" t="s">
        <v>1024</v>
      </c>
      <c r="M323" s="7" t="s">
        <v>73</v>
      </c>
      <c r="N323" s="10" t="e">
        <f>VLOOKUP(G323,Departments!A322:C327,3,0)</f>
        <v>#N/A</v>
      </c>
      <c r="O323" s="13" t="e">
        <f>INDEX(Departments!C322:C327,MATCH(Employees!G323,Departments!A322:A327,0))</f>
        <v>#N/A</v>
      </c>
    </row>
    <row r="324" spans="1:15" x14ac:dyDescent="0.35">
      <c r="A324" s="6" t="s">
        <v>1025</v>
      </c>
      <c r="B324" s="6" t="s">
        <v>69</v>
      </c>
      <c r="C324" s="6" t="s">
        <v>81</v>
      </c>
      <c r="D324" s="8" t="str">
        <f t="shared" si="5"/>
        <v>ROHIT GHOSH</v>
      </c>
      <c r="E324" s="6" t="s">
        <v>57</v>
      </c>
      <c r="F324" s="6">
        <v>53</v>
      </c>
      <c r="G324" s="6" t="s">
        <v>53</v>
      </c>
      <c r="H324" s="6" t="s">
        <v>70</v>
      </c>
      <c r="I324" s="6" t="s">
        <v>1026</v>
      </c>
      <c r="J324" s="6">
        <v>45630</v>
      </c>
      <c r="K324" s="6" t="s">
        <v>28</v>
      </c>
      <c r="L324" s="6" t="s">
        <v>1027</v>
      </c>
      <c r="M324" s="6" t="s">
        <v>73</v>
      </c>
      <c r="N324" s="10" t="e">
        <f>VLOOKUP(G324,Departments!A323:C328,3,0)</f>
        <v>#N/A</v>
      </c>
      <c r="O324" s="13" t="e">
        <f>INDEX(Departments!C323:C328,MATCH(Employees!G324,Departments!A323:A328,0))</f>
        <v>#N/A</v>
      </c>
    </row>
    <row r="325" spans="1:15" x14ac:dyDescent="0.35">
      <c r="A325" s="7" t="s">
        <v>1028</v>
      </c>
      <c r="B325" s="7" t="s">
        <v>75</v>
      </c>
      <c r="C325" s="7" t="s">
        <v>81</v>
      </c>
      <c r="D325" s="8" t="str">
        <f t="shared" si="5"/>
        <v>DAVID GHOSH</v>
      </c>
      <c r="E325" s="7" t="s">
        <v>64</v>
      </c>
      <c r="F325" s="7">
        <v>44</v>
      </c>
      <c r="G325" s="7" t="s">
        <v>53</v>
      </c>
      <c r="H325" s="7" t="s">
        <v>70</v>
      </c>
      <c r="I325" s="7" t="s">
        <v>1029</v>
      </c>
      <c r="J325" s="7">
        <v>80403</v>
      </c>
      <c r="K325" s="7" t="s">
        <v>13</v>
      </c>
      <c r="L325" s="7" t="s">
        <v>1030</v>
      </c>
      <c r="M325" s="7" t="s">
        <v>61</v>
      </c>
      <c r="N325" s="10" t="e">
        <f>VLOOKUP(G325,Departments!A324:C329,3,0)</f>
        <v>#N/A</v>
      </c>
      <c r="O325" s="13" t="e">
        <f>INDEX(Departments!C324:C329,MATCH(Employees!G325,Departments!A324:A329,0))</f>
        <v>#N/A</v>
      </c>
    </row>
    <row r="326" spans="1:15" x14ac:dyDescent="0.35">
      <c r="A326" s="6" t="s">
        <v>1031</v>
      </c>
      <c r="B326" s="6" t="s">
        <v>80</v>
      </c>
      <c r="C326" s="6" t="s">
        <v>81</v>
      </c>
      <c r="D326" s="8" t="str">
        <f t="shared" si="5"/>
        <v>JANE GHOSH</v>
      </c>
      <c r="E326" s="6" t="s">
        <v>64</v>
      </c>
      <c r="F326" s="6">
        <v>51</v>
      </c>
      <c r="G326" s="6" t="s">
        <v>53</v>
      </c>
      <c r="H326" s="6" t="s">
        <v>65</v>
      </c>
      <c r="I326" s="6" t="s">
        <v>1032</v>
      </c>
      <c r="J326" s="6">
        <v>82902</v>
      </c>
      <c r="K326" s="6" t="s">
        <v>37</v>
      </c>
      <c r="L326" s="6" t="s">
        <v>1033</v>
      </c>
      <c r="M326" s="6" t="s">
        <v>73</v>
      </c>
      <c r="N326" s="10" t="e">
        <f>VLOOKUP(G326,Departments!A325:C330,3,0)</f>
        <v>#N/A</v>
      </c>
      <c r="O326" s="13" t="e">
        <f>INDEX(Departments!C325:C330,MATCH(Employees!G326,Departments!A325:A330,0))</f>
        <v>#N/A</v>
      </c>
    </row>
    <row r="327" spans="1:15" x14ac:dyDescent="0.35">
      <c r="A327" s="7" t="s">
        <v>1034</v>
      </c>
      <c r="B327" s="7" t="s">
        <v>55</v>
      </c>
      <c r="C327" s="7" t="s">
        <v>197</v>
      </c>
      <c r="D327" s="8" t="str">
        <f t="shared" si="5"/>
        <v>AMIT BROWN</v>
      </c>
      <c r="E327" s="7" t="s">
        <v>64</v>
      </c>
      <c r="F327" s="7">
        <v>46</v>
      </c>
      <c r="G327" s="7" t="s">
        <v>53</v>
      </c>
      <c r="H327" s="7" t="s">
        <v>140</v>
      </c>
      <c r="I327" s="7" t="s">
        <v>1035</v>
      </c>
      <c r="J327" s="7">
        <v>89841</v>
      </c>
      <c r="K327" s="7" t="s">
        <v>37</v>
      </c>
      <c r="L327" s="7" t="s">
        <v>1036</v>
      </c>
      <c r="M327" s="7" t="s">
        <v>61</v>
      </c>
      <c r="N327" s="10" t="e">
        <f>VLOOKUP(G327,Departments!A326:C331,3,0)</f>
        <v>#N/A</v>
      </c>
      <c r="O327" s="13" t="e">
        <f>INDEX(Departments!C326:C331,MATCH(Employees!G327,Departments!A326:A331,0))</f>
        <v>#N/A</v>
      </c>
    </row>
    <row r="328" spans="1:15" x14ac:dyDescent="0.35">
      <c r="A328" s="6" t="s">
        <v>1037</v>
      </c>
      <c r="B328" s="6" t="s">
        <v>89</v>
      </c>
      <c r="C328" s="6" t="s">
        <v>122</v>
      </c>
      <c r="D328" s="8" t="str">
        <f t="shared" si="5"/>
        <v>SARA PAUL</v>
      </c>
      <c r="E328" s="6" t="s">
        <v>64</v>
      </c>
      <c r="F328" s="6">
        <v>36</v>
      </c>
      <c r="G328" s="6" t="s">
        <v>51</v>
      </c>
      <c r="H328" s="6" t="s">
        <v>65</v>
      </c>
      <c r="I328" s="6" t="s">
        <v>1038</v>
      </c>
      <c r="J328" s="6">
        <v>112396</v>
      </c>
      <c r="K328" s="6" t="s">
        <v>13</v>
      </c>
      <c r="L328" s="6" t="s">
        <v>1039</v>
      </c>
      <c r="M328" s="6" t="s">
        <v>61</v>
      </c>
      <c r="N328" s="10" t="e">
        <f>VLOOKUP(G328,Departments!A327:C332,3,0)</f>
        <v>#N/A</v>
      </c>
      <c r="O328" s="13" t="e">
        <f>INDEX(Departments!C327:C332,MATCH(Employees!G328,Departments!A327:A332,0))</f>
        <v>#N/A</v>
      </c>
    </row>
    <row r="329" spans="1:15" x14ac:dyDescent="0.35">
      <c r="A329" s="7" t="s">
        <v>1040</v>
      </c>
      <c r="B329" s="7" t="s">
        <v>89</v>
      </c>
      <c r="C329" s="7" t="s">
        <v>63</v>
      </c>
      <c r="D329" s="8" t="str">
        <f t="shared" si="5"/>
        <v>SARA ROY</v>
      </c>
      <c r="E329" s="7" t="s">
        <v>64</v>
      </c>
      <c r="F329" s="7">
        <v>39</v>
      </c>
      <c r="G329" s="7" t="s">
        <v>49</v>
      </c>
      <c r="H329" s="7" t="s">
        <v>140</v>
      </c>
      <c r="I329" s="7" t="s">
        <v>1041</v>
      </c>
      <c r="J329" s="7">
        <v>91433</v>
      </c>
      <c r="K329" s="7" t="s">
        <v>37</v>
      </c>
      <c r="L329" s="7" t="s">
        <v>1042</v>
      </c>
      <c r="M329" s="7" t="s">
        <v>73</v>
      </c>
      <c r="N329" s="10" t="e">
        <f>VLOOKUP(G329,Departments!A328:C333,3,0)</f>
        <v>#N/A</v>
      </c>
      <c r="O329" s="13" t="e">
        <f>INDEX(Departments!C328:C333,MATCH(Employees!G329,Departments!A328:A333,0))</f>
        <v>#N/A</v>
      </c>
    </row>
    <row r="330" spans="1:15" x14ac:dyDescent="0.35">
      <c r="A330" s="6" t="s">
        <v>1043</v>
      </c>
      <c r="B330" s="6" t="s">
        <v>85</v>
      </c>
      <c r="C330" s="6" t="s">
        <v>127</v>
      </c>
      <c r="D330" s="8" t="str">
        <f t="shared" si="5"/>
        <v>RAHUL SMITH</v>
      </c>
      <c r="E330" s="6" t="s">
        <v>57</v>
      </c>
      <c r="F330" s="6">
        <v>58</v>
      </c>
      <c r="G330" s="6" t="s">
        <v>53</v>
      </c>
      <c r="H330" s="6" t="s">
        <v>70</v>
      </c>
      <c r="I330" s="6" t="s">
        <v>1044</v>
      </c>
      <c r="J330" s="6">
        <v>75628</v>
      </c>
      <c r="K330" s="6" t="s">
        <v>13</v>
      </c>
      <c r="L330" s="6" t="s">
        <v>1045</v>
      </c>
      <c r="M330" s="6" t="s">
        <v>61</v>
      </c>
      <c r="N330" s="10" t="e">
        <f>VLOOKUP(G330,Departments!A329:C334,3,0)</f>
        <v>#N/A</v>
      </c>
      <c r="O330" s="13" t="e">
        <f>INDEX(Departments!C329:C334,MATCH(Employees!G330,Departments!A329:A334,0))</f>
        <v>#N/A</v>
      </c>
    </row>
    <row r="331" spans="1:15" x14ac:dyDescent="0.35">
      <c r="A331" s="7" t="s">
        <v>1046</v>
      </c>
      <c r="B331" s="7" t="s">
        <v>55</v>
      </c>
      <c r="C331" s="7" t="s">
        <v>81</v>
      </c>
      <c r="D331" s="8" t="str">
        <f t="shared" si="5"/>
        <v>AMIT GHOSH</v>
      </c>
      <c r="E331" s="7" t="s">
        <v>57</v>
      </c>
      <c r="F331" s="7">
        <v>56</v>
      </c>
      <c r="G331" s="7" t="s">
        <v>50</v>
      </c>
      <c r="H331" s="7" t="s">
        <v>58</v>
      </c>
      <c r="I331" s="7" t="s">
        <v>1047</v>
      </c>
      <c r="J331" s="7">
        <v>68036</v>
      </c>
      <c r="K331" s="7" t="s">
        <v>37</v>
      </c>
      <c r="L331" s="7" t="s">
        <v>1048</v>
      </c>
      <c r="M331" s="7" t="s">
        <v>73</v>
      </c>
      <c r="N331" s="10" t="e">
        <f>VLOOKUP(G331,Departments!A330:C335,3,0)</f>
        <v>#N/A</v>
      </c>
      <c r="O331" s="13" t="e">
        <f>INDEX(Departments!C330:C335,MATCH(Employees!G331,Departments!A330:A335,0))</f>
        <v>#N/A</v>
      </c>
    </row>
    <row r="332" spans="1:15" x14ac:dyDescent="0.35">
      <c r="A332" s="6" t="s">
        <v>1049</v>
      </c>
      <c r="B332" s="6" t="s">
        <v>126</v>
      </c>
      <c r="C332" s="6" t="s">
        <v>111</v>
      </c>
      <c r="D332" s="8" t="str">
        <f t="shared" si="5"/>
        <v>PRIYA KHAN</v>
      </c>
      <c r="E332" s="6" t="s">
        <v>64</v>
      </c>
      <c r="F332" s="6">
        <v>50</v>
      </c>
      <c r="G332" s="6" t="s">
        <v>49</v>
      </c>
      <c r="H332" s="6" t="s">
        <v>140</v>
      </c>
      <c r="I332" s="6" t="s">
        <v>1050</v>
      </c>
      <c r="J332" s="6">
        <v>61746</v>
      </c>
      <c r="K332" s="6" t="s">
        <v>28</v>
      </c>
      <c r="L332" s="6" t="s">
        <v>1051</v>
      </c>
      <c r="M332" s="6" t="s">
        <v>73</v>
      </c>
      <c r="N332" s="10" t="e">
        <f>VLOOKUP(G332,Departments!A331:C336,3,0)</f>
        <v>#N/A</v>
      </c>
      <c r="O332" s="13" t="e">
        <f>INDEX(Departments!C331:C336,MATCH(Employees!G332,Departments!A331:A336,0))</f>
        <v>#N/A</v>
      </c>
    </row>
    <row r="333" spans="1:15" x14ac:dyDescent="0.35">
      <c r="A333" s="7" t="s">
        <v>1052</v>
      </c>
      <c r="B333" s="7" t="s">
        <v>175</v>
      </c>
      <c r="C333" s="7" t="s">
        <v>97</v>
      </c>
      <c r="D333" s="8" t="str">
        <f t="shared" si="5"/>
        <v>NEHA SINGH</v>
      </c>
      <c r="E333" s="7" t="s">
        <v>57</v>
      </c>
      <c r="F333" s="7">
        <v>26</v>
      </c>
      <c r="G333" s="7" t="s">
        <v>49</v>
      </c>
      <c r="H333" s="7" t="s">
        <v>140</v>
      </c>
      <c r="I333" s="7" t="s">
        <v>542</v>
      </c>
      <c r="J333" s="7">
        <v>47221</v>
      </c>
      <c r="K333" s="7" t="s">
        <v>13</v>
      </c>
      <c r="L333" s="7" t="s">
        <v>1053</v>
      </c>
      <c r="M333" s="7" t="s">
        <v>73</v>
      </c>
      <c r="N333" s="10" t="e">
        <f>VLOOKUP(G333,Departments!A332:C337,3,0)</f>
        <v>#N/A</v>
      </c>
      <c r="O333" s="13" t="e">
        <f>INDEX(Departments!C332:C337,MATCH(Employees!G333,Departments!A332:A337,0))</f>
        <v>#N/A</v>
      </c>
    </row>
    <row r="334" spans="1:15" x14ac:dyDescent="0.35">
      <c r="A334" s="6" t="s">
        <v>1054</v>
      </c>
      <c r="B334" s="6" t="s">
        <v>104</v>
      </c>
      <c r="C334" s="6" t="s">
        <v>197</v>
      </c>
      <c r="D334" s="8" t="str">
        <f t="shared" si="5"/>
        <v>ANITA BROWN</v>
      </c>
      <c r="E334" s="6" t="s">
        <v>57</v>
      </c>
      <c r="F334" s="6">
        <v>32</v>
      </c>
      <c r="G334" s="6" t="s">
        <v>52</v>
      </c>
      <c r="H334" s="6" t="s">
        <v>140</v>
      </c>
      <c r="I334" s="6" t="s">
        <v>1055</v>
      </c>
      <c r="J334" s="6">
        <v>75595</v>
      </c>
      <c r="K334" s="6" t="s">
        <v>30</v>
      </c>
      <c r="L334" s="6" t="s">
        <v>1056</v>
      </c>
      <c r="M334" s="6" t="s">
        <v>61</v>
      </c>
      <c r="N334" s="10" t="e">
        <f>VLOOKUP(G334,Departments!A333:C338,3,0)</f>
        <v>#N/A</v>
      </c>
      <c r="O334" s="13" t="e">
        <f>INDEX(Departments!C333:C338,MATCH(Employees!G334,Departments!A333:A338,0))</f>
        <v>#N/A</v>
      </c>
    </row>
    <row r="335" spans="1:15" x14ac:dyDescent="0.35">
      <c r="A335" s="7" t="s">
        <v>1057</v>
      </c>
      <c r="B335" s="7" t="s">
        <v>75</v>
      </c>
      <c r="C335" s="7" t="s">
        <v>115</v>
      </c>
      <c r="D335" s="8" t="str">
        <f t="shared" si="5"/>
        <v>DAVID SEN</v>
      </c>
      <c r="E335" s="7" t="s">
        <v>57</v>
      </c>
      <c r="F335" s="7">
        <v>46</v>
      </c>
      <c r="G335" s="7" t="s">
        <v>50</v>
      </c>
      <c r="H335" s="7" t="s">
        <v>58</v>
      </c>
      <c r="I335" s="7" t="s">
        <v>1058</v>
      </c>
      <c r="J335" s="7">
        <v>104179</v>
      </c>
      <c r="K335" s="7" t="s">
        <v>18</v>
      </c>
      <c r="L335" s="7" t="s">
        <v>1059</v>
      </c>
      <c r="M335" s="7" t="s">
        <v>73</v>
      </c>
      <c r="N335" s="10" t="e">
        <f>VLOOKUP(G335,Departments!A334:C339,3,0)</f>
        <v>#N/A</v>
      </c>
      <c r="O335" s="13" t="e">
        <f>INDEX(Departments!C334:C339,MATCH(Employees!G335,Departments!A334:A339,0))</f>
        <v>#N/A</v>
      </c>
    </row>
    <row r="336" spans="1:15" x14ac:dyDescent="0.35">
      <c r="A336" s="6" t="s">
        <v>1060</v>
      </c>
      <c r="B336" s="6" t="s">
        <v>80</v>
      </c>
      <c r="C336" s="6" t="s">
        <v>162</v>
      </c>
      <c r="D336" s="8" t="str">
        <f t="shared" si="5"/>
        <v>JANE DAS</v>
      </c>
      <c r="E336" s="6" t="s">
        <v>57</v>
      </c>
      <c r="F336" s="6">
        <v>37</v>
      </c>
      <c r="G336" s="6" t="s">
        <v>49</v>
      </c>
      <c r="H336" s="6" t="s">
        <v>140</v>
      </c>
      <c r="I336" s="6" t="s">
        <v>1061</v>
      </c>
      <c r="J336" s="6">
        <v>46212</v>
      </c>
      <c r="K336" s="6" t="s">
        <v>30</v>
      </c>
      <c r="L336" s="6" t="s">
        <v>1062</v>
      </c>
      <c r="M336" s="6" t="s">
        <v>61</v>
      </c>
      <c r="N336" s="10" t="e">
        <f>VLOOKUP(G336,Departments!A335:C340,3,0)</f>
        <v>#N/A</v>
      </c>
      <c r="O336" s="13" t="e">
        <f>INDEX(Departments!C335:C340,MATCH(Employees!G336,Departments!A335:A340,0))</f>
        <v>#N/A</v>
      </c>
    </row>
    <row r="337" spans="1:15" x14ac:dyDescent="0.35">
      <c r="A337" s="7" t="s">
        <v>1063</v>
      </c>
      <c r="B337" s="7" t="s">
        <v>93</v>
      </c>
      <c r="C337" s="7" t="s">
        <v>122</v>
      </c>
      <c r="D337" s="8" t="str">
        <f t="shared" si="5"/>
        <v>JOHN PAUL</v>
      </c>
      <c r="E337" s="7" t="s">
        <v>64</v>
      </c>
      <c r="F337" s="7">
        <v>47</v>
      </c>
      <c r="G337" s="7" t="s">
        <v>53</v>
      </c>
      <c r="H337" s="7" t="s">
        <v>76</v>
      </c>
      <c r="I337" s="7" t="s">
        <v>1064</v>
      </c>
      <c r="J337" s="7">
        <v>39091</v>
      </c>
      <c r="K337" s="7" t="s">
        <v>37</v>
      </c>
      <c r="L337" s="7" t="s">
        <v>1065</v>
      </c>
      <c r="M337" s="7" t="s">
        <v>61</v>
      </c>
      <c r="N337" s="10" t="e">
        <f>VLOOKUP(G337,Departments!A336:C341,3,0)</f>
        <v>#N/A</v>
      </c>
      <c r="O337" s="13" t="e">
        <f>INDEX(Departments!C336:C341,MATCH(Employees!G337,Departments!A336:A341,0))</f>
        <v>#N/A</v>
      </c>
    </row>
    <row r="338" spans="1:15" x14ac:dyDescent="0.35">
      <c r="A338" s="6" t="s">
        <v>1066</v>
      </c>
      <c r="B338" s="6" t="s">
        <v>69</v>
      </c>
      <c r="C338" s="6" t="s">
        <v>115</v>
      </c>
      <c r="D338" s="8" t="str">
        <f t="shared" si="5"/>
        <v>ROHIT SEN</v>
      </c>
      <c r="E338" s="6" t="s">
        <v>64</v>
      </c>
      <c r="F338" s="6">
        <v>43</v>
      </c>
      <c r="G338" s="6" t="s">
        <v>52</v>
      </c>
      <c r="H338" s="6" t="s">
        <v>76</v>
      </c>
      <c r="I338" s="6" t="s">
        <v>1067</v>
      </c>
      <c r="J338" s="6">
        <v>73436</v>
      </c>
      <c r="K338" s="6" t="s">
        <v>13</v>
      </c>
      <c r="L338" s="6" t="s">
        <v>1068</v>
      </c>
      <c r="M338" s="6" t="s">
        <v>73</v>
      </c>
      <c r="N338" s="10" t="e">
        <f>VLOOKUP(G338,Departments!A337:C342,3,0)</f>
        <v>#N/A</v>
      </c>
      <c r="O338" s="13" t="e">
        <f>INDEX(Departments!C337:C342,MATCH(Employees!G338,Departments!A337:A342,0))</f>
        <v>#N/A</v>
      </c>
    </row>
    <row r="339" spans="1:15" x14ac:dyDescent="0.35">
      <c r="A339" s="7" t="s">
        <v>1069</v>
      </c>
      <c r="B339" s="7" t="s">
        <v>175</v>
      </c>
      <c r="C339" s="7" t="s">
        <v>111</v>
      </c>
      <c r="D339" s="8" t="str">
        <f t="shared" si="5"/>
        <v>NEHA KHAN</v>
      </c>
      <c r="E339" s="7" t="s">
        <v>57</v>
      </c>
      <c r="F339" s="7">
        <v>57</v>
      </c>
      <c r="G339" s="7" t="s">
        <v>51</v>
      </c>
      <c r="H339" s="7" t="s">
        <v>76</v>
      </c>
      <c r="I339" s="7" t="s">
        <v>1070</v>
      </c>
      <c r="J339" s="7">
        <v>62199</v>
      </c>
      <c r="K339" s="7" t="s">
        <v>13</v>
      </c>
      <c r="L339" s="7" t="s">
        <v>1071</v>
      </c>
      <c r="M339" s="7" t="s">
        <v>61</v>
      </c>
      <c r="N339" s="10" t="e">
        <f>VLOOKUP(G339,Departments!A338:C343,3,0)</f>
        <v>#N/A</v>
      </c>
      <c r="O339" s="13" t="e">
        <f>INDEX(Departments!C338:C343,MATCH(Employees!G339,Departments!A338:A343,0))</f>
        <v>#N/A</v>
      </c>
    </row>
    <row r="340" spans="1:15" x14ac:dyDescent="0.35">
      <c r="A340" s="6" t="s">
        <v>1072</v>
      </c>
      <c r="B340" s="6" t="s">
        <v>89</v>
      </c>
      <c r="C340" s="6" t="s">
        <v>127</v>
      </c>
      <c r="D340" s="8" t="str">
        <f t="shared" si="5"/>
        <v>SARA SMITH</v>
      </c>
      <c r="E340" s="6" t="s">
        <v>64</v>
      </c>
      <c r="F340" s="6">
        <v>41</v>
      </c>
      <c r="G340" s="6" t="s">
        <v>50</v>
      </c>
      <c r="H340" s="6" t="s">
        <v>65</v>
      </c>
      <c r="I340" s="6" t="s">
        <v>1073</v>
      </c>
      <c r="J340" s="6">
        <v>53338</v>
      </c>
      <c r="K340" s="6" t="s">
        <v>18</v>
      </c>
      <c r="L340" s="6" t="s">
        <v>1074</v>
      </c>
      <c r="M340" s="6" t="s">
        <v>61</v>
      </c>
      <c r="N340" s="10" t="e">
        <f>VLOOKUP(G340,Departments!A339:C344,3,0)</f>
        <v>#N/A</v>
      </c>
      <c r="O340" s="13" t="e">
        <f>INDEX(Departments!C339:C344,MATCH(Employees!G340,Departments!A339:A344,0))</f>
        <v>#N/A</v>
      </c>
    </row>
    <row r="341" spans="1:15" x14ac:dyDescent="0.35">
      <c r="A341" s="7" t="s">
        <v>1075</v>
      </c>
      <c r="B341" s="7" t="s">
        <v>126</v>
      </c>
      <c r="C341" s="7" t="s">
        <v>81</v>
      </c>
      <c r="D341" s="8" t="str">
        <f t="shared" si="5"/>
        <v>PRIYA GHOSH</v>
      </c>
      <c r="E341" s="7" t="s">
        <v>57</v>
      </c>
      <c r="F341" s="7">
        <v>38</v>
      </c>
      <c r="G341" s="7" t="s">
        <v>51</v>
      </c>
      <c r="H341" s="7" t="s">
        <v>140</v>
      </c>
      <c r="I341" s="7" t="s">
        <v>1076</v>
      </c>
      <c r="J341" s="7">
        <v>64542</v>
      </c>
      <c r="K341" s="7" t="s">
        <v>28</v>
      </c>
      <c r="L341" s="7" t="s">
        <v>1077</v>
      </c>
      <c r="M341" s="7" t="s">
        <v>61</v>
      </c>
      <c r="N341" s="10" t="e">
        <f>VLOOKUP(G341,Departments!A340:C345,3,0)</f>
        <v>#N/A</v>
      </c>
      <c r="O341" s="13" t="e">
        <f>INDEX(Departments!C340:C345,MATCH(Employees!G341,Departments!A340:A345,0))</f>
        <v>#N/A</v>
      </c>
    </row>
    <row r="342" spans="1:15" x14ac:dyDescent="0.35">
      <c r="A342" s="6" t="s">
        <v>1078</v>
      </c>
      <c r="B342" s="6" t="s">
        <v>93</v>
      </c>
      <c r="C342" s="6" t="s">
        <v>162</v>
      </c>
      <c r="D342" s="8" t="str">
        <f t="shared" si="5"/>
        <v>JOHN DAS</v>
      </c>
      <c r="E342" s="6" t="s">
        <v>57</v>
      </c>
      <c r="F342" s="6">
        <v>59</v>
      </c>
      <c r="G342" s="6" t="s">
        <v>52</v>
      </c>
      <c r="H342" s="6" t="s">
        <v>140</v>
      </c>
      <c r="I342" s="6" t="s">
        <v>1079</v>
      </c>
      <c r="J342" s="6">
        <v>38117</v>
      </c>
      <c r="K342" s="6" t="s">
        <v>18</v>
      </c>
      <c r="L342" s="6" t="s">
        <v>1080</v>
      </c>
      <c r="M342" s="6" t="s">
        <v>61</v>
      </c>
      <c r="N342" s="10" t="e">
        <f>VLOOKUP(G342,Departments!A341:C346,3,0)</f>
        <v>#N/A</v>
      </c>
      <c r="O342" s="13" t="e">
        <f>INDEX(Departments!C341:C346,MATCH(Employees!G342,Departments!A341:A346,0))</f>
        <v>#N/A</v>
      </c>
    </row>
    <row r="343" spans="1:15" x14ac:dyDescent="0.35">
      <c r="A343" s="7" t="s">
        <v>1081</v>
      </c>
      <c r="B343" s="7" t="s">
        <v>69</v>
      </c>
      <c r="C343" s="7" t="s">
        <v>115</v>
      </c>
      <c r="D343" s="8" t="str">
        <f t="shared" si="5"/>
        <v>ROHIT SEN</v>
      </c>
      <c r="E343" s="7" t="s">
        <v>64</v>
      </c>
      <c r="F343" s="7">
        <v>25</v>
      </c>
      <c r="G343" s="7" t="s">
        <v>49</v>
      </c>
      <c r="H343" s="7" t="s">
        <v>140</v>
      </c>
      <c r="I343" s="7" t="s">
        <v>1082</v>
      </c>
      <c r="J343" s="7">
        <v>101879</v>
      </c>
      <c r="K343" s="7" t="s">
        <v>30</v>
      </c>
      <c r="L343" s="7" t="s">
        <v>1083</v>
      </c>
      <c r="M343" s="7" t="s">
        <v>61</v>
      </c>
      <c r="N343" s="10" t="e">
        <f>VLOOKUP(G343,Departments!A342:C347,3,0)</f>
        <v>#N/A</v>
      </c>
      <c r="O343" s="13" t="e">
        <f>INDEX(Departments!C342:C347,MATCH(Employees!G343,Departments!A342:A347,0))</f>
        <v>#N/A</v>
      </c>
    </row>
    <row r="344" spans="1:15" x14ac:dyDescent="0.35">
      <c r="A344" s="6" t="s">
        <v>1084</v>
      </c>
      <c r="B344" s="6" t="s">
        <v>104</v>
      </c>
      <c r="C344" s="6" t="s">
        <v>63</v>
      </c>
      <c r="D344" s="8" t="str">
        <f t="shared" si="5"/>
        <v>ANITA ROY</v>
      </c>
      <c r="E344" s="6" t="s">
        <v>64</v>
      </c>
      <c r="F344" s="6">
        <v>43</v>
      </c>
      <c r="G344" s="6" t="s">
        <v>51</v>
      </c>
      <c r="H344" s="6" t="s">
        <v>140</v>
      </c>
      <c r="I344" s="6" t="s">
        <v>1085</v>
      </c>
      <c r="J344" s="6">
        <v>78777</v>
      </c>
      <c r="K344" s="6" t="s">
        <v>28</v>
      </c>
      <c r="L344" s="6" t="s">
        <v>1086</v>
      </c>
      <c r="M344" s="6" t="s">
        <v>61</v>
      </c>
      <c r="N344" s="10" t="e">
        <f>VLOOKUP(G344,Departments!A343:C348,3,0)</f>
        <v>#N/A</v>
      </c>
      <c r="O344" s="13" t="e">
        <f>INDEX(Departments!C343:C348,MATCH(Employees!G344,Departments!A343:A348,0))</f>
        <v>#N/A</v>
      </c>
    </row>
    <row r="345" spans="1:15" x14ac:dyDescent="0.35">
      <c r="A345" s="7" t="s">
        <v>1087</v>
      </c>
      <c r="B345" s="7" t="s">
        <v>69</v>
      </c>
      <c r="C345" s="7" t="s">
        <v>127</v>
      </c>
      <c r="D345" s="8" t="str">
        <f t="shared" si="5"/>
        <v>ROHIT SMITH</v>
      </c>
      <c r="E345" s="7" t="s">
        <v>57</v>
      </c>
      <c r="F345" s="7">
        <v>33</v>
      </c>
      <c r="G345" s="7" t="s">
        <v>49</v>
      </c>
      <c r="H345" s="7" t="s">
        <v>140</v>
      </c>
      <c r="I345" s="7" t="s">
        <v>1088</v>
      </c>
      <c r="J345" s="7">
        <v>43206</v>
      </c>
      <c r="K345" s="7" t="s">
        <v>28</v>
      </c>
      <c r="L345" s="7" t="s">
        <v>1089</v>
      </c>
      <c r="M345" s="7" t="s">
        <v>73</v>
      </c>
      <c r="N345" s="10" t="e">
        <f>VLOOKUP(G345,Departments!A344:C349,3,0)</f>
        <v>#N/A</v>
      </c>
      <c r="O345" s="13" t="e">
        <f>INDEX(Departments!C344:C349,MATCH(Employees!G345,Departments!A344:A349,0))</f>
        <v>#N/A</v>
      </c>
    </row>
    <row r="346" spans="1:15" x14ac:dyDescent="0.35">
      <c r="A346" s="6" t="s">
        <v>1090</v>
      </c>
      <c r="B346" s="6" t="s">
        <v>104</v>
      </c>
      <c r="C346" s="6" t="s">
        <v>122</v>
      </c>
      <c r="D346" s="8" t="str">
        <f t="shared" si="5"/>
        <v>ANITA PAUL</v>
      </c>
      <c r="E346" s="6" t="s">
        <v>57</v>
      </c>
      <c r="F346" s="6">
        <v>42</v>
      </c>
      <c r="G346" s="6" t="s">
        <v>50</v>
      </c>
      <c r="H346" s="6" t="s">
        <v>65</v>
      </c>
      <c r="I346" s="6" t="s">
        <v>1091</v>
      </c>
      <c r="J346" s="6">
        <v>80745</v>
      </c>
      <c r="K346" s="6" t="s">
        <v>37</v>
      </c>
      <c r="L346" s="6" t="s">
        <v>1092</v>
      </c>
      <c r="M346" s="6" t="s">
        <v>73</v>
      </c>
      <c r="N346" s="10" t="e">
        <f>VLOOKUP(G346,Departments!A345:C350,3,0)</f>
        <v>#N/A</v>
      </c>
      <c r="O346" s="13" t="e">
        <f>INDEX(Departments!C345:C350,MATCH(Employees!G346,Departments!A345:A350,0))</f>
        <v>#N/A</v>
      </c>
    </row>
    <row r="347" spans="1:15" x14ac:dyDescent="0.35">
      <c r="A347" s="7" t="s">
        <v>1093</v>
      </c>
      <c r="B347" s="7" t="s">
        <v>80</v>
      </c>
      <c r="C347" s="7" t="s">
        <v>115</v>
      </c>
      <c r="D347" s="8" t="str">
        <f t="shared" si="5"/>
        <v>JANE SEN</v>
      </c>
      <c r="E347" s="7" t="s">
        <v>64</v>
      </c>
      <c r="F347" s="7">
        <v>24</v>
      </c>
      <c r="G347" s="7" t="s">
        <v>50</v>
      </c>
      <c r="H347" s="7" t="s">
        <v>140</v>
      </c>
      <c r="I347" s="7" t="s">
        <v>1094</v>
      </c>
      <c r="J347" s="7">
        <v>67559</v>
      </c>
      <c r="K347" s="7" t="s">
        <v>18</v>
      </c>
      <c r="L347" s="7" t="s">
        <v>1095</v>
      </c>
      <c r="M347" s="7" t="s">
        <v>61</v>
      </c>
      <c r="N347" s="10" t="e">
        <f>VLOOKUP(G347,Departments!A346:C351,3,0)</f>
        <v>#N/A</v>
      </c>
      <c r="O347" s="13" t="e">
        <f>INDEX(Departments!C346:C351,MATCH(Employees!G347,Departments!A346:A351,0))</f>
        <v>#N/A</v>
      </c>
    </row>
    <row r="348" spans="1:15" x14ac:dyDescent="0.35">
      <c r="A348" s="6" t="s">
        <v>1096</v>
      </c>
      <c r="B348" s="6" t="s">
        <v>93</v>
      </c>
      <c r="C348" s="6" t="s">
        <v>111</v>
      </c>
      <c r="D348" s="8" t="str">
        <f t="shared" si="5"/>
        <v>JOHN KHAN</v>
      </c>
      <c r="E348" s="6" t="s">
        <v>64</v>
      </c>
      <c r="F348" s="6">
        <v>47</v>
      </c>
      <c r="G348" s="6" t="s">
        <v>53</v>
      </c>
      <c r="H348" s="6" t="s">
        <v>65</v>
      </c>
      <c r="I348" s="6" t="s">
        <v>1097</v>
      </c>
      <c r="J348" s="6">
        <v>106379</v>
      </c>
      <c r="K348" s="6" t="s">
        <v>18</v>
      </c>
      <c r="L348" s="6" t="s">
        <v>1098</v>
      </c>
      <c r="M348" s="6" t="s">
        <v>61</v>
      </c>
      <c r="N348" s="10" t="e">
        <f>VLOOKUP(G348,Departments!A347:C352,3,0)</f>
        <v>#N/A</v>
      </c>
      <c r="O348" s="13" t="e">
        <f>INDEX(Departments!C347:C352,MATCH(Employees!G348,Departments!A347:A352,0))</f>
        <v>#N/A</v>
      </c>
    </row>
    <row r="349" spans="1:15" x14ac:dyDescent="0.35">
      <c r="A349" s="7" t="s">
        <v>1099</v>
      </c>
      <c r="B349" s="7" t="s">
        <v>55</v>
      </c>
      <c r="C349" s="7" t="s">
        <v>97</v>
      </c>
      <c r="D349" s="8" t="str">
        <f t="shared" si="5"/>
        <v>AMIT SINGH</v>
      </c>
      <c r="E349" s="7" t="s">
        <v>64</v>
      </c>
      <c r="F349" s="7">
        <v>30</v>
      </c>
      <c r="G349" s="7" t="s">
        <v>52</v>
      </c>
      <c r="H349" s="7" t="s">
        <v>65</v>
      </c>
      <c r="I349" s="7" t="s">
        <v>1100</v>
      </c>
      <c r="J349" s="7">
        <v>103395</v>
      </c>
      <c r="K349" s="7" t="s">
        <v>30</v>
      </c>
      <c r="L349" s="7" t="s">
        <v>1101</v>
      </c>
      <c r="M349" s="7" t="s">
        <v>73</v>
      </c>
      <c r="N349" s="10" t="e">
        <f>VLOOKUP(G349,Departments!A348:C353,3,0)</f>
        <v>#N/A</v>
      </c>
      <c r="O349" s="13" t="e">
        <f>INDEX(Departments!C348:C353,MATCH(Employees!G349,Departments!A348:A353,0))</f>
        <v>#N/A</v>
      </c>
    </row>
    <row r="350" spans="1:15" x14ac:dyDescent="0.35">
      <c r="A350" s="6" t="s">
        <v>1102</v>
      </c>
      <c r="B350" s="6" t="s">
        <v>126</v>
      </c>
      <c r="C350" s="6" t="s">
        <v>162</v>
      </c>
      <c r="D350" s="8" t="str">
        <f t="shared" si="5"/>
        <v>PRIYA DAS</v>
      </c>
      <c r="E350" s="6" t="s">
        <v>57</v>
      </c>
      <c r="F350" s="6">
        <v>33</v>
      </c>
      <c r="G350" s="6" t="s">
        <v>53</v>
      </c>
      <c r="H350" s="6" t="s">
        <v>70</v>
      </c>
      <c r="I350" s="6" t="s">
        <v>1103</v>
      </c>
      <c r="J350" s="6">
        <v>76025</v>
      </c>
      <c r="K350" s="6" t="s">
        <v>18</v>
      </c>
      <c r="L350" s="6" t="s">
        <v>1104</v>
      </c>
      <c r="M350" s="6" t="s">
        <v>73</v>
      </c>
      <c r="N350" s="10" t="e">
        <f>VLOOKUP(G350,Departments!A349:C354,3,0)</f>
        <v>#N/A</v>
      </c>
      <c r="O350" s="13" t="e">
        <f>INDEX(Departments!C349:C354,MATCH(Employees!G350,Departments!A349:A354,0))</f>
        <v>#N/A</v>
      </c>
    </row>
    <row r="351" spans="1:15" x14ac:dyDescent="0.35">
      <c r="A351" s="7" t="s">
        <v>1105</v>
      </c>
      <c r="B351" s="7" t="s">
        <v>85</v>
      </c>
      <c r="C351" s="7" t="s">
        <v>56</v>
      </c>
      <c r="D351" s="8" t="str">
        <f t="shared" si="5"/>
        <v>RAHUL DUTTA</v>
      </c>
      <c r="E351" s="7" t="s">
        <v>57</v>
      </c>
      <c r="F351" s="7">
        <v>33</v>
      </c>
      <c r="G351" s="7" t="s">
        <v>52</v>
      </c>
      <c r="H351" s="7" t="s">
        <v>58</v>
      </c>
      <c r="I351" s="7" t="s">
        <v>1106</v>
      </c>
      <c r="J351" s="7">
        <v>69952</v>
      </c>
      <c r="K351" s="7" t="s">
        <v>13</v>
      </c>
      <c r="L351" s="7" t="s">
        <v>1107</v>
      </c>
      <c r="M351" s="7" t="s">
        <v>73</v>
      </c>
      <c r="N351" s="10" t="e">
        <f>VLOOKUP(G351,Departments!A350:C355,3,0)</f>
        <v>#N/A</v>
      </c>
      <c r="O351" s="13" t="e">
        <f>INDEX(Departments!C350:C355,MATCH(Employees!G351,Departments!A350:A355,0))</f>
        <v>#N/A</v>
      </c>
    </row>
    <row r="352" spans="1:15" x14ac:dyDescent="0.35">
      <c r="A352" s="6" t="s">
        <v>1108</v>
      </c>
      <c r="B352" s="6" t="s">
        <v>85</v>
      </c>
      <c r="C352" s="6" t="s">
        <v>81</v>
      </c>
      <c r="D352" s="8" t="str">
        <f t="shared" si="5"/>
        <v>RAHUL GHOSH</v>
      </c>
      <c r="E352" s="6" t="s">
        <v>57</v>
      </c>
      <c r="F352" s="6">
        <v>42</v>
      </c>
      <c r="G352" s="6" t="s">
        <v>49</v>
      </c>
      <c r="H352" s="6" t="s">
        <v>65</v>
      </c>
      <c r="I352" s="6" t="s">
        <v>1109</v>
      </c>
      <c r="J352" s="6">
        <v>108637</v>
      </c>
      <c r="K352" s="6" t="s">
        <v>18</v>
      </c>
      <c r="L352" s="6" t="s">
        <v>1110</v>
      </c>
      <c r="M352" s="6" t="s">
        <v>73</v>
      </c>
      <c r="N352" s="10" t="e">
        <f>VLOOKUP(G352,Departments!A351:C356,3,0)</f>
        <v>#N/A</v>
      </c>
      <c r="O352" s="13" t="e">
        <f>INDEX(Departments!C351:C356,MATCH(Employees!G352,Departments!A351:A356,0))</f>
        <v>#N/A</v>
      </c>
    </row>
    <row r="353" spans="1:15" x14ac:dyDescent="0.35">
      <c r="A353" s="7" t="s">
        <v>1111</v>
      </c>
      <c r="B353" s="7" t="s">
        <v>80</v>
      </c>
      <c r="C353" s="7" t="s">
        <v>122</v>
      </c>
      <c r="D353" s="8" t="str">
        <f t="shared" si="5"/>
        <v>JANE PAUL</v>
      </c>
      <c r="E353" s="7" t="s">
        <v>57</v>
      </c>
      <c r="F353" s="7">
        <v>27</v>
      </c>
      <c r="G353" s="7" t="s">
        <v>52</v>
      </c>
      <c r="H353" s="7" t="s">
        <v>70</v>
      </c>
      <c r="I353" s="7" t="s">
        <v>1112</v>
      </c>
      <c r="J353" s="7">
        <v>65699</v>
      </c>
      <c r="K353" s="7" t="s">
        <v>18</v>
      </c>
      <c r="L353" s="7" t="s">
        <v>1113</v>
      </c>
      <c r="M353" s="7" t="s">
        <v>61</v>
      </c>
      <c r="N353" s="10" t="e">
        <f>VLOOKUP(G353,Departments!A352:C357,3,0)</f>
        <v>#N/A</v>
      </c>
      <c r="O353" s="13" t="e">
        <f>INDEX(Departments!C352:C357,MATCH(Employees!G353,Departments!A352:A357,0))</f>
        <v>#N/A</v>
      </c>
    </row>
    <row r="354" spans="1:15" x14ac:dyDescent="0.35">
      <c r="A354" s="6" t="s">
        <v>1114</v>
      </c>
      <c r="B354" s="6" t="s">
        <v>175</v>
      </c>
      <c r="C354" s="6" t="s">
        <v>97</v>
      </c>
      <c r="D354" s="8" t="str">
        <f t="shared" si="5"/>
        <v>NEHA SINGH</v>
      </c>
      <c r="E354" s="6" t="s">
        <v>64</v>
      </c>
      <c r="F354" s="6">
        <v>50</v>
      </c>
      <c r="G354" s="6" t="s">
        <v>49</v>
      </c>
      <c r="H354" s="6" t="s">
        <v>76</v>
      </c>
      <c r="I354" s="6" t="s">
        <v>1115</v>
      </c>
      <c r="J354" s="6">
        <v>90340</v>
      </c>
      <c r="K354" s="6" t="s">
        <v>30</v>
      </c>
      <c r="L354" s="6" t="s">
        <v>1116</v>
      </c>
      <c r="M354" s="6" t="s">
        <v>61</v>
      </c>
      <c r="N354" s="10" t="e">
        <f>VLOOKUP(G354,Departments!A353:C358,3,0)</f>
        <v>#N/A</v>
      </c>
      <c r="O354" s="13" t="e">
        <f>INDEX(Departments!C353:C358,MATCH(Employees!G354,Departments!A353:A358,0))</f>
        <v>#N/A</v>
      </c>
    </row>
    <row r="355" spans="1:15" x14ac:dyDescent="0.35">
      <c r="A355" s="7" t="s">
        <v>1117</v>
      </c>
      <c r="B355" s="7" t="s">
        <v>104</v>
      </c>
      <c r="C355" s="7" t="s">
        <v>127</v>
      </c>
      <c r="D355" s="8" t="str">
        <f t="shared" si="5"/>
        <v>ANITA SMITH</v>
      </c>
      <c r="E355" s="7" t="s">
        <v>57</v>
      </c>
      <c r="F355" s="7">
        <v>31</v>
      </c>
      <c r="G355" s="7" t="s">
        <v>51</v>
      </c>
      <c r="H355" s="7" t="s">
        <v>76</v>
      </c>
      <c r="I355" s="7" t="s">
        <v>1118</v>
      </c>
      <c r="J355" s="7">
        <v>114818</v>
      </c>
      <c r="K355" s="7" t="s">
        <v>18</v>
      </c>
      <c r="L355" s="7" t="s">
        <v>1119</v>
      </c>
      <c r="M355" s="7" t="s">
        <v>73</v>
      </c>
      <c r="N355" s="10" t="e">
        <f>VLOOKUP(G355,Departments!A354:C359,3,0)</f>
        <v>#N/A</v>
      </c>
      <c r="O355" s="13" t="e">
        <f>INDEX(Departments!C354:C359,MATCH(Employees!G355,Departments!A354:A359,0))</f>
        <v>#N/A</v>
      </c>
    </row>
    <row r="356" spans="1:15" x14ac:dyDescent="0.35">
      <c r="A356" s="6" t="s">
        <v>1120</v>
      </c>
      <c r="B356" s="6" t="s">
        <v>89</v>
      </c>
      <c r="C356" s="6" t="s">
        <v>56</v>
      </c>
      <c r="D356" s="8" t="str">
        <f t="shared" si="5"/>
        <v>SARA DUTTA</v>
      </c>
      <c r="E356" s="6" t="s">
        <v>57</v>
      </c>
      <c r="F356" s="6">
        <v>39</v>
      </c>
      <c r="G356" s="6" t="s">
        <v>52</v>
      </c>
      <c r="H356" s="6" t="s">
        <v>140</v>
      </c>
      <c r="I356" s="6" t="s">
        <v>1121</v>
      </c>
      <c r="J356" s="6">
        <v>82417</v>
      </c>
      <c r="K356" s="6" t="s">
        <v>18</v>
      </c>
      <c r="L356" s="6" t="s">
        <v>1122</v>
      </c>
      <c r="M356" s="6" t="s">
        <v>73</v>
      </c>
      <c r="N356" s="10" t="e">
        <f>VLOOKUP(G356,Departments!A355:C360,3,0)</f>
        <v>#N/A</v>
      </c>
      <c r="O356" s="13" t="e">
        <f>INDEX(Departments!C355:C360,MATCH(Employees!G356,Departments!A355:A360,0))</f>
        <v>#N/A</v>
      </c>
    </row>
    <row r="357" spans="1:15" x14ac:dyDescent="0.35">
      <c r="A357" s="7" t="s">
        <v>1123</v>
      </c>
      <c r="B357" s="7" t="s">
        <v>89</v>
      </c>
      <c r="C357" s="7" t="s">
        <v>122</v>
      </c>
      <c r="D357" s="8" t="str">
        <f t="shared" si="5"/>
        <v>SARA PAUL</v>
      </c>
      <c r="E357" s="7" t="s">
        <v>64</v>
      </c>
      <c r="F357" s="7">
        <v>38</v>
      </c>
      <c r="G357" s="7" t="s">
        <v>53</v>
      </c>
      <c r="H357" s="7" t="s">
        <v>58</v>
      </c>
      <c r="I357" s="7" t="s">
        <v>1124</v>
      </c>
      <c r="J357" s="7">
        <v>116569</v>
      </c>
      <c r="K357" s="7" t="s">
        <v>37</v>
      </c>
      <c r="L357" s="7" t="s">
        <v>1125</v>
      </c>
      <c r="M357" s="7" t="s">
        <v>61</v>
      </c>
      <c r="N357" s="10" t="e">
        <f>VLOOKUP(G357,Departments!A356:C361,3,0)</f>
        <v>#N/A</v>
      </c>
      <c r="O357" s="13" t="e">
        <f>INDEX(Departments!C356:C361,MATCH(Employees!G357,Departments!A356:A361,0))</f>
        <v>#N/A</v>
      </c>
    </row>
    <row r="358" spans="1:15" x14ac:dyDescent="0.35">
      <c r="A358" s="6" t="s">
        <v>1126</v>
      </c>
      <c r="B358" s="6" t="s">
        <v>93</v>
      </c>
      <c r="C358" s="6" t="s">
        <v>115</v>
      </c>
      <c r="D358" s="8" t="str">
        <f t="shared" si="5"/>
        <v>JOHN SEN</v>
      </c>
      <c r="E358" s="6" t="s">
        <v>64</v>
      </c>
      <c r="F358" s="6">
        <v>37</v>
      </c>
      <c r="G358" s="6" t="s">
        <v>50</v>
      </c>
      <c r="H358" s="6" t="s">
        <v>65</v>
      </c>
      <c r="I358" s="6" t="s">
        <v>1127</v>
      </c>
      <c r="J358" s="6">
        <v>98489</v>
      </c>
      <c r="K358" s="6" t="s">
        <v>13</v>
      </c>
      <c r="L358" s="6" t="s">
        <v>1128</v>
      </c>
      <c r="M358" s="6" t="s">
        <v>73</v>
      </c>
      <c r="N358" s="10" t="e">
        <f>VLOOKUP(G358,Departments!A357:C362,3,0)</f>
        <v>#N/A</v>
      </c>
      <c r="O358" s="13" t="e">
        <f>INDEX(Departments!C357:C362,MATCH(Employees!G358,Departments!A357:A362,0))</f>
        <v>#N/A</v>
      </c>
    </row>
    <row r="359" spans="1:15" x14ac:dyDescent="0.35">
      <c r="A359" s="7" t="s">
        <v>1129</v>
      </c>
      <c r="B359" s="7" t="s">
        <v>93</v>
      </c>
      <c r="C359" s="7" t="s">
        <v>127</v>
      </c>
      <c r="D359" s="8" t="str">
        <f t="shared" si="5"/>
        <v>JOHN SMITH</v>
      </c>
      <c r="E359" s="7" t="s">
        <v>57</v>
      </c>
      <c r="F359" s="7">
        <v>58</v>
      </c>
      <c r="G359" s="7" t="s">
        <v>52</v>
      </c>
      <c r="H359" s="7" t="s">
        <v>65</v>
      </c>
      <c r="I359" s="7" t="s">
        <v>1130</v>
      </c>
      <c r="J359" s="7">
        <v>60665</v>
      </c>
      <c r="K359" s="7" t="s">
        <v>13</v>
      </c>
      <c r="L359" s="7" t="s">
        <v>1131</v>
      </c>
      <c r="M359" s="7" t="s">
        <v>73</v>
      </c>
      <c r="N359" s="10" t="e">
        <f>VLOOKUP(G359,Departments!A358:C363,3,0)</f>
        <v>#N/A</v>
      </c>
      <c r="O359" s="13" t="e">
        <f>INDEX(Departments!C358:C363,MATCH(Employees!G359,Departments!A358:A363,0))</f>
        <v>#N/A</v>
      </c>
    </row>
    <row r="360" spans="1:15" x14ac:dyDescent="0.35">
      <c r="A360" s="6" t="s">
        <v>1132</v>
      </c>
      <c r="B360" s="6" t="s">
        <v>69</v>
      </c>
      <c r="C360" s="6" t="s">
        <v>162</v>
      </c>
      <c r="D360" s="8" t="str">
        <f t="shared" si="5"/>
        <v>ROHIT DAS</v>
      </c>
      <c r="E360" s="6" t="s">
        <v>64</v>
      </c>
      <c r="F360" s="6">
        <v>59</v>
      </c>
      <c r="G360" s="6" t="s">
        <v>51</v>
      </c>
      <c r="H360" s="6" t="s">
        <v>76</v>
      </c>
      <c r="I360" s="6" t="s">
        <v>1133</v>
      </c>
      <c r="J360" s="6">
        <v>91685</v>
      </c>
      <c r="K360" s="6" t="s">
        <v>30</v>
      </c>
      <c r="L360" s="6" t="s">
        <v>1134</v>
      </c>
      <c r="M360" s="6" t="s">
        <v>73</v>
      </c>
      <c r="N360" s="10" t="e">
        <f>VLOOKUP(G360,Departments!A359:C364,3,0)</f>
        <v>#N/A</v>
      </c>
      <c r="O360" s="13" t="e">
        <f>INDEX(Departments!C359:C364,MATCH(Employees!G360,Departments!A359:A364,0))</f>
        <v>#N/A</v>
      </c>
    </row>
    <row r="361" spans="1:15" x14ac:dyDescent="0.35">
      <c r="A361" s="7" t="s">
        <v>1135</v>
      </c>
      <c r="B361" s="7" t="s">
        <v>93</v>
      </c>
      <c r="C361" s="7" t="s">
        <v>162</v>
      </c>
      <c r="D361" s="8" t="str">
        <f t="shared" si="5"/>
        <v>JOHN DAS</v>
      </c>
      <c r="E361" s="7" t="s">
        <v>57</v>
      </c>
      <c r="F361" s="7">
        <v>55</v>
      </c>
      <c r="G361" s="7" t="s">
        <v>50</v>
      </c>
      <c r="H361" s="7" t="s">
        <v>140</v>
      </c>
      <c r="I361" s="7" t="s">
        <v>1136</v>
      </c>
      <c r="J361" s="7">
        <v>76843</v>
      </c>
      <c r="K361" s="7" t="s">
        <v>13</v>
      </c>
      <c r="L361" s="7" t="s">
        <v>1137</v>
      </c>
      <c r="M361" s="7" t="s">
        <v>61</v>
      </c>
      <c r="N361" s="10" t="e">
        <f>VLOOKUP(G361,Departments!A360:C365,3,0)</f>
        <v>#N/A</v>
      </c>
      <c r="O361" s="13" t="e">
        <f>INDEX(Departments!C360:C365,MATCH(Employees!G361,Departments!A360:A365,0))</f>
        <v>#N/A</v>
      </c>
    </row>
    <row r="362" spans="1:15" x14ac:dyDescent="0.35">
      <c r="A362" s="6" t="s">
        <v>1138</v>
      </c>
      <c r="B362" s="6" t="s">
        <v>93</v>
      </c>
      <c r="C362" s="6" t="s">
        <v>56</v>
      </c>
      <c r="D362" s="8" t="str">
        <f t="shared" si="5"/>
        <v>JOHN DUTTA</v>
      </c>
      <c r="E362" s="6" t="s">
        <v>64</v>
      </c>
      <c r="F362" s="6">
        <v>35</v>
      </c>
      <c r="G362" s="6" t="s">
        <v>53</v>
      </c>
      <c r="H362" s="6" t="s">
        <v>76</v>
      </c>
      <c r="I362" s="6" t="s">
        <v>1139</v>
      </c>
      <c r="J362" s="6">
        <v>91860</v>
      </c>
      <c r="K362" s="6" t="s">
        <v>13</v>
      </c>
      <c r="L362" s="6" t="s">
        <v>1140</v>
      </c>
      <c r="M362" s="6" t="s">
        <v>61</v>
      </c>
      <c r="N362" s="10" t="e">
        <f>VLOOKUP(G362,Departments!A361:C366,3,0)</f>
        <v>#N/A</v>
      </c>
      <c r="O362" s="13" t="e">
        <f>INDEX(Departments!C361:C366,MATCH(Employees!G362,Departments!A361:A366,0))</f>
        <v>#N/A</v>
      </c>
    </row>
    <row r="363" spans="1:15" x14ac:dyDescent="0.35">
      <c r="A363" s="7" t="s">
        <v>1141</v>
      </c>
      <c r="B363" s="7" t="s">
        <v>104</v>
      </c>
      <c r="C363" s="7" t="s">
        <v>56</v>
      </c>
      <c r="D363" s="8" t="str">
        <f t="shared" si="5"/>
        <v>ANITA DUTTA</v>
      </c>
      <c r="E363" s="7" t="s">
        <v>64</v>
      </c>
      <c r="F363" s="7">
        <v>60</v>
      </c>
      <c r="G363" s="7" t="s">
        <v>49</v>
      </c>
      <c r="H363" s="7" t="s">
        <v>58</v>
      </c>
      <c r="I363" s="7" t="s">
        <v>1142</v>
      </c>
      <c r="J363" s="7">
        <v>117041</v>
      </c>
      <c r="K363" s="7" t="s">
        <v>30</v>
      </c>
      <c r="L363" s="7" t="s">
        <v>1143</v>
      </c>
      <c r="M363" s="7" t="s">
        <v>73</v>
      </c>
      <c r="N363" s="10" t="e">
        <f>VLOOKUP(G363,Departments!A362:C367,3,0)</f>
        <v>#N/A</v>
      </c>
      <c r="O363" s="13" t="e">
        <f>INDEX(Departments!C362:C367,MATCH(Employees!G363,Departments!A362:A367,0))</f>
        <v>#N/A</v>
      </c>
    </row>
    <row r="364" spans="1:15" x14ac:dyDescent="0.35">
      <c r="A364" s="6" t="s">
        <v>1144</v>
      </c>
      <c r="B364" s="6" t="s">
        <v>55</v>
      </c>
      <c r="C364" s="6" t="s">
        <v>56</v>
      </c>
      <c r="D364" s="8" t="str">
        <f t="shared" si="5"/>
        <v>AMIT DUTTA</v>
      </c>
      <c r="E364" s="6" t="s">
        <v>64</v>
      </c>
      <c r="F364" s="6">
        <v>45</v>
      </c>
      <c r="G364" s="6" t="s">
        <v>52</v>
      </c>
      <c r="H364" s="6" t="s">
        <v>140</v>
      </c>
      <c r="I364" s="6" t="s">
        <v>1145</v>
      </c>
      <c r="J364" s="6">
        <v>93769</v>
      </c>
      <c r="K364" s="6" t="s">
        <v>37</v>
      </c>
      <c r="L364" s="6" t="s">
        <v>1146</v>
      </c>
      <c r="M364" s="6" t="s">
        <v>61</v>
      </c>
      <c r="N364" s="10" t="e">
        <f>VLOOKUP(G364,Departments!A363:C368,3,0)</f>
        <v>#N/A</v>
      </c>
      <c r="O364" s="13" t="e">
        <f>INDEX(Departments!C363:C368,MATCH(Employees!G364,Departments!A363:A368,0))</f>
        <v>#N/A</v>
      </c>
    </row>
    <row r="365" spans="1:15" x14ac:dyDescent="0.35">
      <c r="A365" s="7" t="s">
        <v>1147</v>
      </c>
      <c r="B365" s="7" t="s">
        <v>175</v>
      </c>
      <c r="C365" s="7" t="s">
        <v>197</v>
      </c>
      <c r="D365" s="8" t="str">
        <f t="shared" si="5"/>
        <v>NEHA BROWN</v>
      </c>
      <c r="E365" s="7" t="s">
        <v>64</v>
      </c>
      <c r="F365" s="7">
        <v>37</v>
      </c>
      <c r="G365" s="7" t="s">
        <v>50</v>
      </c>
      <c r="H365" s="7" t="s">
        <v>140</v>
      </c>
      <c r="I365" s="7" t="s">
        <v>1148</v>
      </c>
      <c r="J365" s="7">
        <v>43224</v>
      </c>
      <c r="K365" s="7" t="s">
        <v>18</v>
      </c>
      <c r="L365" s="7" t="s">
        <v>1149</v>
      </c>
      <c r="M365" s="7" t="s">
        <v>61</v>
      </c>
      <c r="N365" s="10" t="e">
        <f>VLOOKUP(G365,Departments!A364:C369,3,0)</f>
        <v>#N/A</v>
      </c>
      <c r="O365" s="13" t="e">
        <f>INDEX(Departments!C364:C369,MATCH(Employees!G365,Departments!A364:A369,0))</f>
        <v>#N/A</v>
      </c>
    </row>
    <row r="366" spans="1:15" x14ac:dyDescent="0.35">
      <c r="A366" s="6" t="s">
        <v>1150</v>
      </c>
      <c r="B366" s="6" t="s">
        <v>175</v>
      </c>
      <c r="C366" s="6" t="s">
        <v>56</v>
      </c>
      <c r="D366" s="8" t="str">
        <f t="shared" si="5"/>
        <v>NEHA DUTTA</v>
      </c>
      <c r="E366" s="6" t="s">
        <v>64</v>
      </c>
      <c r="F366" s="6">
        <v>43</v>
      </c>
      <c r="G366" s="6" t="s">
        <v>50</v>
      </c>
      <c r="H366" s="6" t="s">
        <v>65</v>
      </c>
      <c r="I366" s="6" t="s">
        <v>1151</v>
      </c>
      <c r="J366" s="6">
        <v>101866</v>
      </c>
      <c r="K366" s="6" t="s">
        <v>37</v>
      </c>
      <c r="L366" s="6" t="s">
        <v>1152</v>
      </c>
      <c r="M366" s="6" t="s">
        <v>73</v>
      </c>
      <c r="N366" s="10" t="e">
        <f>VLOOKUP(G366,Departments!A365:C370,3,0)</f>
        <v>#N/A</v>
      </c>
      <c r="O366" s="13" t="e">
        <f>INDEX(Departments!C365:C370,MATCH(Employees!G366,Departments!A365:A370,0))</f>
        <v>#N/A</v>
      </c>
    </row>
    <row r="367" spans="1:15" x14ac:dyDescent="0.35">
      <c r="A367" s="7" t="s">
        <v>1153</v>
      </c>
      <c r="B367" s="7" t="s">
        <v>85</v>
      </c>
      <c r="C367" s="7" t="s">
        <v>127</v>
      </c>
      <c r="D367" s="8" t="str">
        <f t="shared" si="5"/>
        <v>RAHUL SMITH</v>
      </c>
      <c r="E367" s="7" t="s">
        <v>57</v>
      </c>
      <c r="F367" s="7">
        <v>56</v>
      </c>
      <c r="G367" s="7" t="s">
        <v>53</v>
      </c>
      <c r="H367" s="7" t="s">
        <v>76</v>
      </c>
      <c r="I367" s="7" t="s">
        <v>1154</v>
      </c>
      <c r="J367" s="7">
        <v>101636</v>
      </c>
      <c r="K367" s="7" t="s">
        <v>37</v>
      </c>
      <c r="L367" s="7" t="s">
        <v>1155</v>
      </c>
      <c r="M367" s="7" t="s">
        <v>73</v>
      </c>
      <c r="N367" s="10" t="e">
        <f>VLOOKUP(G367,Departments!A366:C371,3,0)</f>
        <v>#N/A</v>
      </c>
      <c r="O367" s="13" t="e">
        <f>INDEX(Departments!C366:C371,MATCH(Employees!G367,Departments!A366:A371,0))</f>
        <v>#N/A</v>
      </c>
    </row>
    <row r="368" spans="1:15" x14ac:dyDescent="0.35">
      <c r="A368" s="6" t="s">
        <v>1156</v>
      </c>
      <c r="B368" s="6" t="s">
        <v>89</v>
      </c>
      <c r="C368" s="6" t="s">
        <v>111</v>
      </c>
      <c r="D368" s="8" t="str">
        <f t="shared" si="5"/>
        <v>SARA KHAN</v>
      </c>
      <c r="E368" s="6" t="s">
        <v>64</v>
      </c>
      <c r="F368" s="6">
        <v>42</v>
      </c>
      <c r="G368" s="6" t="s">
        <v>51</v>
      </c>
      <c r="H368" s="6" t="s">
        <v>58</v>
      </c>
      <c r="I368" s="6" t="s">
        <v>1157</v>
      </c>
      <c r="J368" s="6">
        <v>106833</v>
      </c>
      <c r="K368" s="6" t="s">
        <v>30</v>
      </c>
      <c r="L368" s="6" t="s">
        <v>1158</v>
      </c>
      <c r="M368" s="6" t="s">
        <v>73</v>
      </c>
      <c r="N368" s="10" t="e">
        <f>VLOOKUP(G368,Departments!A367:C372,3,0)</f>
        <v>#N/A</v>
      </c>
      <c r="O368" s="13" t="e">
        <f>INDEX(Departments!C367:C372,MATCH(Employees!G368,Departments!A367:A372,0))</f>
        <v>#N/A</v>
      </c>
    </row>
    <row r="369" spans="1:15" x14ac:dyDescent="0.35">
      <c r="A369" s="7" t="s">
        <v>1159</v>
      </c>
      <c r="B369" s="7" t="s">
        <v>69</v>
      </c>
      <c r="C369" s="7" t="s">
        <v>81</v>
      </c>
      <c r="D369" s="8" t="str">
        <f t="shared" si="5"/>
        <v>ROHIT GHOSH</v>
      </c>
      <c r="E369" s="7" t="s">
        <v>57</v>
      </c>
      <c r="F369" s="7">
        <v>42</v>
      </c>
      <c r="G369" s="7" t="s">
        <v>49</v>
      </c>
      <c r="H369" s="7" t="s">
        <v>70</v>
      </c>
      <c r="I369" s="7" t="s">
        <v>1160</v>
      </c>
      <c r="J369" s="7">
        <v>75163</v>
      </c>
      <c r="K369" s="7" t="s">
        <v>18</v>
      </c>
      <c r="L369" s="7" t="s">
        <v>1161</v>
      </c>
      <c r="M369" s="7" t="s">
        <v>61</v>
      </c>
      <c r="N369" s="10" t="e">
        <f>VLOOKUP(G369,Departments!A368:C373,3,0)</f>
        <v>#N/A</v>
      </c>
      <c r="O369" s="13" t="e">
        <f>INDEX(Departments!C368:C373,MATCH(Employees!G369,Departments!A368:A373,0))</f>
        <v>#N/A</v>
      </c>
    </row>
    <row r="370" spans="1:15" x14ac:dyDescent="0.35">
      <c r="A370" s="6" t="s">
        <v>1162</v>
      </c>
      <c r="B370" s="6" t="s">
        <v>93</v>
      </c>
      <c r="C370" s="6" t="s">
        <v>162</v>
      </c>
      <c r="D370" s="8" t="str">
        <f t="shared" si="5"/>
        <v>JOHN DAS</v>
      </c>
      <c r="E370" s="6" t="s">
        <v>64</v>
      </c>
      <c r="F370" s="6">
        <v>41</v>
      </c>
      <c r="G370" s="6" t="s">
        <v>50</v>
      </c>
      <c r="H370" s="6" t="s">
        <v>65</v>
      </c>
      <c r="I370" s="6" t="s">
        <v>1163</v>
      </c>
      <c r="J370" s="6">
        <v>86763</v>
      </c>
      <c r="K370" s="6" t="s">
        <v>13</v>
      </c>
      <c r="L370" s="6" t="s">
        <v>1164</v>
      </c>
      <c r="M370" s="6" t="s">
        <v>73</v>
      </c>
      <c r="N370" s="10" t="e">
        <f>VLOOKUP(G370,Departments!A369:C374,3,0)</f>
        <v>#N/A</v>
      </c>
      <c r="O370" s="13" t="e">
        <f>INDEX(Departments!C369:C374,MATCH(Employees!G370,Departments!A369:A374,0))</f>
        <v>#N/A</v>
      </c>
    </row>
    <row r="371" spans="1:15" x14ac:dyDescent="0.35">
      <c r="A371" s="7" t="s">
        <v>1165</v>
      </c>
      <c r="B371" s="7" t="s">
        <v>126</v>
      </c>
      <c r="C371" s="7" t="s">
        <v>162</v>
      </c>
      <c r="D371" s="8" t="str">
        <f t="shared" si="5"/>
        <v>PRIYA DAS</v>
      </c>
      <c r="E371" s="7" t="s">
        <v>57</v>
      </c>
      <c r="F371" s="7">
        <v>49</v>
      </c>
      <c r="G371" s="7" t="s">
        <v>50</v>
      </c>
      <c r="H371" s="7" t="s">
        <v>76</v>
      </c>
      <c r="I371" s="7" t="s">
        <v>1166</v>
      </c>
      <c r="J371" s="7">
        <v>54974</v>
      </c>
      <c r="K371" s="7" t="s">
        <v>37</v>
      </c>
      <c r="L371" s="7" t="s">
        <v>1167</v>
      </c>
      <c r="M371" s="7" t="s">
        <v>73</v>
      </c>
      <c r="N371" s="10" t="e">
        <f>VLOOKUP(G371,Departments!A370:C375,3,0)</f>
        <v>#N/A</v>
      </c>
      <c r="O371" s="13" t="e">
        <f>INDEX(Departments!C370:C375,MATCH(Employees!G371,Departments!A370:A375,0))</f>
        <v>#N/A</v>
      </c>
    </row>
    <row r="372" spans="1:15" x14ac:dyDescent="0.35">
      <c r="A372" s="6" t="s">
        <v>1168</v>
      </c>
      <c r="B372" s="6" t="s">
        <v>175</v>
      </c>
      <c r="C372" s="6" t="s">
        <v>97</v>
      </c>
      <c r="D372" s="8" t="str">
        <f t="shared" si="5"/>
        <v>NEHA SINGH</v>
      </c>
      <c r="E372" s="6" t="s">
        <v>57</v>
      </c>
      <c r="F372" s="6">
        <v>30</v>
      </c>
      <c r="G372" s="6" t="s">
        <v>52</v>
      </c>
      <c r="H372" s="6" t="s">
        <v>70</v>
      </c>
      <c r="I372" s="6" t="s">
        <v>1169</v>
      </c>
      <c r="J372" s="6">
        <v>74728</v>
      </c>
      <c r="K372" s="6" t="s">
        <v>30</v>
      </c>
      <c r="L372" s="6" t="s">
        <v>1170</v>
      </c>
      <c r="M372" s="6" t="s">
        <v>73</v>
      </c>
      <c r="N372" s="10" t="e">
        <f>VLOOKUP(G372,Departments!A371:C376,3,0)</f>
        <v>#N/A</v>
      </c>
      <c r="O372" s="13" t="e">
        <f>INDEX(Departments!C371:C376,MATCH(Employees!G372,Departments!A371:A376,0))</f>
        <v>#N/A</v>
      </c>
    </row>
    <row r="373" spans="1:15" x14ac:dyDescent="0.35">
      <c r="A373" s="7" t="s">
        <v>1171</v>
      </c>
      <c r="B373" s="7" t="s">
        <v>55</v>
      </c>
      <c r="C373" s="7" t="s">
        <v>162</v>
      </c>
      <c r="D373" s="8" t="str">
        <f t="shared" si="5"/>
        <v>AMIT DAS</v>
      </c>
      <c r="E373" s="7" t="s">
        <v>64</v>
      </c>
      <c r="F373" s="7">
        <v>58</v>
      </c>
      <c r="G373" s="7" t="s">
        <v>52</v>
      </c>
      <c r="H373" s="7" t="s">
        <v>76</v>
      </c>
      <c r="I373" s="7" t="s">
        <v>228</v>
      </c>
      <c r="J373" s="7">
        <v>88207</v>
      </c>
      <c r="K373" s="7" t="s">
        <v>37</v>
      </c>
      <c r="L373" s="7" t="s">
        <v>1172</v>
      </c>
      <c r="M373" s="7" t="s">
        <v>73</v>
      </c>
      <c r="N373" s="10" t="e">
        <f>VLOOKUP(G373,Departments!A372:C377,3,0)</f>
        <v>#N/A</v>
      </c>
      <c r="O373" s="13" t="e">
        <f>INDEX(Departments!C372:C377,MATCH(Employees!G373,Departments!A372:A377,0))</f>
        <v>#N/A</v>
      </c>
    </row>
    <row r="374" spans="1:15" x14ac:dyDescent="0.35">
      <c r="A374" s="6" t="s">
        <v>1173</v>
      </c>
      <c r="B374" s="6" t="s">
        <v>69</v>
      </c>
      <c r="C374" s="6" t="s">
        <v>111</v>
      </c>
      <c r="D374" s="8" t="str">
        <f t="shared" si="5"/>
        <v>ROHIT KHAN</v>
      </c>
      <c r="E374" s="6" t="s">
        <v>64</v>
      </c>
      <c r="F374" s="6">
        <v>56</v>
      </c>
      <c r="G374" s="6" t="s">
        <v>53</v>
      </c>
      <c r="H374" s="6" t="s">
        <v>76</v>
      </c>
      <c r="I374" s="6" t="s">
        <v>650</v>
      </c>
      <c r="J374" s="6">
        <v>96878</v>
      </c>
      <c r="K374" s="6" t="s">
        <v>13</v>
      </c>
      <c r="L374" s="6" t="s">
        <v>1174</v>
      </c>
      <c r="M374" s="6" t="s">
        <v>61</v>
      </c>
      <c r="N374" s="10" t="e">
        <f>VLOOKUP(G374,Departments!A373:C378,3,0)</f>
        <v>#N/A</v>
      </c>
      <c r="O374" s="13" t="e">
        <f>INDEX(Departments!C373:C378,MATCH(Employees!G374,Departments!A373:A378,0))</f>
        <v>#N/A</v>
      </c>
    </row>
    <row r="375" spans="1:15" x14ac:dyDescent="0.35">
      <c r="A375" s="7" t="s">
        <v>1175</v>
      </c>
      <c r="B375" s="7" t="s">
        <v>89</v>
      </c>
      <c r="C375" s="7" t="s">
        <v>122</v>
      </c>
      <c r="D375" s="8" t="str">
        <f t="shared" si="5"/>
        <v>SARA PAUL</v>
      </c>
      <c r="E375" s="7" t="s">
        <v>57</v>
      </c>
      <c r="F375" s="7">
        <v>27</v>
      </c>
      <c r="G375" s="7" t="s">
        <v>51</v>
      </c>
      <c r="H375" s="7" t="s">
        <v>76</v>
      </c>
      <c r="I375" s="7" t="s">
        <v>1176</v>
      </c>
      <c r="J375" s="7">
        <v>49341</v>
      </c>
      <c r="K375" s="7" t="s">
        <v>13</v>
      </c>
      <c r="L375" s="7" t="s">
        <v>1177</v>
      </c>
      <c r="M375" s="7" t="s">
        <v>73</v>
      </c>
      <c r="N375" s="10" t="e">
        <f>VLOOKUP(G375,Departments!A374:C379,3,0)</f>
        <v>#N/A</v>
      </c>
      <c r="O375" s="13" t="e">
        <f>INDEX(Departments!C374:C379,MATCH(Employees!G375,Departments!A374:A379,0))</f>
        <v>#N/A</v>
      </c>
    </row>
    <row r="376" spans="1:15" x14ac:dyDescent="0.35">
      <c r="A376" s="6" t="s">
        <v>1178</v>
      </c>
      <c r="B376" s="6" t="s">
        <v>55</v>
      </c>
      <c r="C376" s="6" t="s">
        <v>197</v>
      </c>
      <c r="D376" s="8" t="str">
        <f t="shared" si="5"/>
        <v>AMIT BROWN</v>
      </c>
      <c r="E376" s="6" t="s">
        <v>57</v>
      </c>
      <c r="F376" s="6">
        <v>57</v>
      </c>
      <c r="G376" s="6" t="s">
        <v>53</v>
      </c>
      <c r="H376" s="6" t="s">
        <v>65</v>
      </c>
      <c r="I376" s="6" t="s">
        <v>1179</v>
      </c>
      <c r="J376" s="6">
        <v>87757</v>
      </c>
      <c r="K376" s="6" t="s">
        <v>30</v>
      </c>
      <c r="L376" s="6" t="s">
        <v>1180</v>
      </c>
      <c r="M376" s="6" t="s">
        <v>61</v>
      </c>
      <c r="N376" s="10" t="e">
        <f>VLOOKUP(G376,Departments!A375:C380,3,0)</f>
        <v>#N/A</v>
      </c>
      <c r="O376" s="13" t="e">
        <f>INDEX(Departments!C375:C380,MATCH(Employees!G376,Departments!A375:A380,0))</f>
        <v>#N/A</v>
      </c>
    </row>
    <row r="377" spans="1:15" x14ac:dyDescent="0.35">
      <c r="A377" s="7" t="s">
        <v>1181</v>
      </c>
      <c r="B377" s="7" t="s">
        <v>126</v>
      </c>
      <c r="C377" s="7" t="s">
        <v>56</v>
      </c>
      <c r="D377" s="8" t="str">
        <f t="shared" si="5"/>
        <v>PRIYA DUTTA</v>
      </c>
      <c r="E377" s="7" t="s">
        <v>57</v>
      </c>
      <c r="F377" s="7">
        <v>28</v>
      </c>
      <c r="G377" s="7" t="s">
        <v>50</v>
      </c>
      <c r="H377" s="7" t="s">
        <v>58</v>
      </c>
      <c r="I377" s="7" t="s">
        <v>1182</v>
      </c>
      <c r="J377" s="7">
        <v>113590</v>
      </c>
      <c r="K377" s="7" t="s">
        <v>30</v>
      </c>
      <c r="L377" s="7" t="s">
        <v>1183</v>
      </c>
      <c r="M377" s="7" t="s">
        <v>73</v>
      </c>
      <c r="N377" s="10" t="e">
        <f>VLOOKUP(G377,Departments!A376:C381,3,0)</f>
        <v>#N/A</v>
      </c>
      <c r="O377" s="13" t="e">
        <f>INDEX(Departments!C376:C381,MATCH(Employees!G377,Departments!A376:A381,0))</f>
        <v>#N/A</v>
      </c>
    </row>
    <row r="378" spans="1:15" x14ac:dyDescent="0.35">
      <c r="A378" s="6" t="s">
        <v>1184</v>
      </c>
      <c r="B378" s="6" t="s">
        <v>89</v>
      </c>
      <c r="C378" s="6" t="s">
        <v>122</v>
      </c>
      <c r="D378" s="8" t="str">
        <f t="shared" si="5"/>
        <v>SARA PAUL</v>
      </c>
      <c r="E378" s="6" t="s">
        <v>57</v>
      </c>
      <c r="F378" s="6">
        <v>37</v>
      </c>
      <c r="G378" s="6" t="s">
        <v>49</v>
      </c>
      <c r="H378" s="6" t="s">
        <v>70</v>
      </c>
      <c r="I378" s="6" t="s">
        <v>1185</v>
      </c>
      <c r="J378" s="6">
        <v>82897</v>
      </c>
      <c r="K378" s="6" t="s">
        <v>18</v>
      </c>
      <c r="L378" s="6" t="s">
        <v>1186</v>
      </c>
      <c r="M378" s="6" t="s">
        <v>61</v>
      </c>
      <c r="N378" s="10" t="e">
        <f>VLOOKUP(G378,Departments!A377:C382,3,0)</f>
        <v>#N/A</v>
      </c>
      <c r="O378" s="13" t="e">
        <f>INDEX(Departments!C377:C382,MATCH(Employees!G378,Departments!A377:A382,0))</f>
        <v>#N/A</v>
      </c>
    </row>
    <row r="379" spans="1:15" x14ac:dyDescent="0.35">
      <c r="A379" s="7" t="s">
        <v>1187</v>
      </c>
      <c r="B379" s="7" t="s">
        <v>126</v>
      </c>
      <c r="C379" s="7" t="s">
        <v>122</v>
      </c>
      <c r="D379" s="8" t="str">
        <f t="shared" si="5"/>
        <v>PRIYA PAUL</v>
      </c>
      <c r="E379" s="7" t="s">
        <v>57</v>
      </c>
      <c r="F379" s="7">
        <v>37</v>
      </c>
      <c r="G379" s="7" t="s">
        <v>51</v>
      </c>
      <c r="H379" s="7" t="s">
        <v>70</v>
      </c>
      <c r="I379" s="7" t="s">
        <v>1188</v>
      </c>
      <c r="J379" s="7">
        <v>69652</v>
      </c>
      <c r="K379" s="7" t="s">
        <v>28</v>
      </c>
      <c r="L379" s="7" t="s">
        <v>1189</v>
      </c>
      <c r="M379" s="7" t="s">
        <v>73</v>
      </c>
      <c r="N379" s="10" t="e">
        <f>VLOOKUP(G379,Departments!A378:C383,3,0)</f>
        <v>#N/A</v>
      </c>
      <c r="O379" s="13" t="e">
        <f>INDEX(Departments!C378:C383,MATCH(Employees!G379,Departments!A378:A383,0))</f>
        <v>#N/A</v>
      </c>
    </row>
    <row r="380" spans="1:15" x14ac:dyDescent="0.35">
      <c r="A380" s="6" t="s">
        <v>1190</v>
      </c>
      <c r="B380" s="6" t="s">
        <v>93</v>
      </c>
      <c r="C380" s="6" t="s">
        <v>56</v>
      </c>
      <c r="D380" s="8" t="str">
        <f t="shared" si="5"/>
        <v>JOHN DUTTA</v>
      </c>
      <c r="E380" s="6" t="s">
        <v>57</v>
      </c>
      <c r="F380" s="6">
        <v>22</v>
      </c>
      <c r="G380" s="6" t="s">
        <v>51</v>
      </c>
      <c r="H380" s="6" t="s">
        <v>140</v>
      </c>
      <c r="I380" s="6" t="s">
        <v>1191</v>
      </c>
      <c r="J380" s="6">
        <v>92754</v>
      </c>
      <c r="K380" s="6" t="s">
        <v>30</v>
      </c>
      <c r="L380" s="6" t="s">
        <v>1192</v>
      </c>
      <c r="M380" s="6" t="s">
        <v>61</v>
      </c>
      <c r="N380" s="10" t="e">
        <f>VLOOKUP(G380,Departments!A379:C384,3,0)</f>
        <v>#N/A</v>
      </c>
      <c r="O380" s="13" t="e">
        <f>INDEX(Departments!C379:C384,MATCH(Employees!G380,Departments!A379:A384,0))</f>
        <v>#N/A</v>
      </c>
    </row>
    <row r="381" spans="1:15" x14ac:dyDescent="0.35">
      <c r="A381" s="7" t="s">
        <v>1193</v>
      </c>
      <c r="B381" s="7" t="s">
        <v>85</v>
      </c>
      <c r="C381" s="7" t="s">
        <v>56</v>
      </c>
      <c r="D381" s="8" t="str">
        <f t="shared" si="5"/>
        <v>RAHUL DUTTA</v>
      </c>
      <c r="E381" s="7" t="s">
        <v>64</v>
      </c>
      <c r="F381" s="7">
        <v>24</v>
      </c>
      <c r="G381" s="7" t="s">
        <v>51</v>
      </c>
      <c r="H381" s="7" t="s">
        <v>58</v>
      </c>
      <c r="I381" s="7" t="s">
        <v>1194</v>
      </c>
      <c r="J381" s="7">
        <v>65180</v>
      </c>
      <c r="K381" s="7" t="s">
        <v>28</v>
      </c>
      <c r="L381" s="7" t="s">
        <v>1195</v>
      </c>
      <c r="M381" s="7" t="s">
        <v>61</v>
      </c>
      <c r="N381" s="10" t="e">
        <f>VLOOKUP(G381,Departments!A380:C385,3,0)</f>
        <v>#N/A</v>
      </c>
      <c r="O381" s="13" t="e">
        <f>INDEX(Departments!C380:C385,MATCH(Employees!G381,Departments!A380:A385,0))</f>
        <v>#N/A</v>
      </c>
    </row>
    <row r="382" spans="1:15" x14ac:dyDescent="0.35">
      <c r="A382" s="6" t="s">
        <v>1196</v>
      </c>
      <c r="B382" s="6" t="s">
        <v>75</v>
      </c>
      <c r="C382" s="6" t="s">
        <v>97</v>
      </c>
      <c r="D382" s="8" t="str">
        <f t="shared" si="5"/>
        <v>DAVID SINGH</v>
      </c>
      <c r="E382" s="6" t="s">
        <v>57</v>
      </c>
      <c r="F382" s="6">
        <v>60</v>
      </c>
      <c r="G382" s="6" t="s">
        <v>52</v>
      </c>
      <c r="H382" s="6" t="s">
        <v>65</v>
      </c>
      <c r="I382" s="6" t="s">
        <v>290</v>
      </c>
      <c r="J382" s="6">
        <v>93081</v>
      </c>
      <c r="K382" s="6" t="s">
        <v>28</v>
      </c>
      <c r="L382" s="6" t="s">
        <v>1197</v>
      </c>
      <c r="M382" s="6" t="s">
        <v>61</v>
      </c>
      <c r="N382" s="10" t="e">
        <f>VLOOKUP(G382,Departments!A381:C386,3,0)</f>
        <v>#N/A</v>
      </c>
      <c r="O382" s="13" t="e">
        <f>INDEX(Departments!C381:C386,MATCH(Employees!G382,Departments!A381:A386,0))</f>
        <v>#N/A</v>
      </c>
    </row>
    <row r="383" spans="1:15" x14ac:dyDescent="0.35">
      <c r="A383" s="7" t="s">
        <v>1198</v>
      </c>
      <c r="B383" s="7" t="s">
        <v>75</v>
      </c>
      <c r="C383" s="7" t="s">
        <v>97</v>
      </c>
      <c r="D383" s="8" t="str">
        <f t="shared" si="5"/>
        <v>DAVID SINGH</v>
      </c>
      <c r="E383" s="7" t="s">
        <v>57</v>
      </c>
      <c r="F383" s="7">
        <v>57</v>
      </c>
      <c r="G383" s="7" t="s">
        <v>51</v>
      </c>
      <c r="H383" s="7" t="s">
        <v>70</v>
      </c>
      <c r="I383" s="7" t="s">
        <v>1199</v>
      </c>
      <c r="J383" s="7">
        <v>91007</v>
      </c>
      <c r="K383" s="7" t="s">
        <v>13</v>
      </c>
      <c r="L383" s="7" t="s">
        <v>1200</v>
      </c>
      <c r="M383" s="7" t="s">
        <v>73</v>
      </c>
      <c r="N383" s="10" t="e">
        <f>VLOOKUP(G383,Departments!A382:C387,3,0)</f>
        <v>#N/A</v>
      </c>
      <c r="O383" s="13" t="e">
        <f>INDEX(Departments!C382:C387,MATCH(Employees!G383,Departments!A382:A387,0))</f>
        <v>#N/A</v>
      </c>
    </row>
    <row r="384" spans="1:15" x14ac:dyDescent="0.35">
      <c r="A384" s="6" t="s">
        <v>1201</v>
      </c>
      <c r="B384" s="6" t="s">
        <v>80</v>
      </c>
      <c r="C384" s="6" t="s">
        <v>162</v>
      </c>
      <c r="D384" s="8" t="str">
        <f t="shared" si="5"/>
        <v>JANE DAS</v>
      </c>
      <c r="E384" s="6" t="s">
        <v>57</v>
      </c>
      <c r="F384" s="6">
        <v>32</v>
      </c>
      <c r="G384" s="6" t="s">
        <v>51</v>
      </c>
      <c r="H384" s="6" t="s">
        <v>76</v>
      </c>
      <c r="I384" s="6" t="s">
        <v>1202</v>
      </c>
      <c r="J384" s="6">
        <v>88127</v>
      </c>
      <c r="K384" s="6" t="s">
        <v>28</v>
      </c>
      <c r="L384" s="6" t="s">
        <v>1203</v>
      </c>
      <c r="M384" s="6" t="s">
        <v>61</v>
      </c>
      <c r="N384" s="10" t="e">
        <f>VLOOKUP(G384,Departments!A383:C388,3,0)</f>
        <v>#N/A</v>
      </c>
      <c r="O384" s="13" t="e">
        <f>INDEX(Departments!C383:C388,MATCH(Employees!G384,Departments!A383:A388,0))</f>
        <v>#N/A</v>
      </c>
    </row>
    <row r="385" spans="1:15" x14ac:dyDescent="0.35">
      <c r="A385" s="7" t="s">
        <v>1204</v>
      </c>
      <c r="B385" s="7" t="s">
        <v>69</v>
      </c>
      <c r="C385" s="7" t="s">
        <v>111</v>
      </c>
      <c r="D385" s="8" t="str">
        <f t="shared" si="5"/>
        <v>ROHIT KHAN</v>
      </c>
      <c r="E385" s="7" t="s">
        <v>64</v>
      </c>
      <c r="F385" s="7">
        <v>34</v>
      </c>
      <c r="G385" s="7" t="s">
        <v>49</v>
      </c>
      <c r="H385" s="7" t="s">
        <v>65</v>
      </c>
      <c r="I385" s="7" t="s">
        <v>1205</v>
      </c>
      <c r="J385" s="7">
        <v>70318</v>
      </c>
      <c r="K385" s="7" t="s">
        <v>30</v>
      </c>
      <c r="L385" s="7" t="s">
        <v>1206</v>
      </c>
      <c r="M385" s="7" t="s">
        <v>73</v>
      </c>
      <c r="N385" s="10" t="e">
        <f>VLOOKUP(G385,Departments!A384:C389,3,0)</f>
        <v>#N/A</v>
      </c>
      <c r="O385" s="13" t="e">
        <f>INDEX(Departments!C384:C389,MATCH(Employees!G385,Departments!A384:A389,0))</f>
        <v>#N/A</v>
      </c>
    </row>
    <row r="386" spans="1:15" x14ac:dyDescent="0.35">
      <c r="A386" s="6" t="s">
        <v>1207</v>
      </c>
      <c r="B386" s="6" t="s">
        <v>69</v>
      </c>
      <c r="C386" s="6" t="s">
        <v>127</v>
      </c>
      <c r="D386" s="8" t="str">
        <f t="shared" si="5"/>
        <v>ROHIT SMITH</v>
      </c>
      <c r="E386" s="6" t="s">
        <v>57</v>
      </c>
      <c r="F386" s="6">
        <v>31</v>
      </c>
      <c r="G386" s="6" t="s">
        <v>52</v>
      </c>
      <c r="H386" s="6" t="s">
        <v>140</v>
      </c>
      <c r="I386" s="6" t="s">
        <v>598</v>
      </c>
      <c r="J386" s="6">
        <v>47884</v>
      </c>
      <c r="K386" s="6" t="s">
        <v>18</v>
      </c>
      <c r="L386" s="6" t="s">
        <v>1208</v>
      </c>
      <c r="M386" s="6" t="s">
        <v>61</v>
      </c>
      <c r="N386" s="10" t="e">
        <f>VLOOKUP(G386,Departments!A385:C390,3,0)</f>
        <v>#N/A</v>
      </c>
      <c r="O386" s="13" t="e">
        <f>INDEX(Departments!C385:C390,MATCH(Employees!G386,Departments!A385:A390,0))</f>
        <v>#N/A</v>
      </c>
    </row>
    <row r="387" spans="1:15" x14ac:dyDescent="0.35">
      <c r="A387" s="7" t="s">
        <v>1209</v>
      </c>
      <c r="B387" s="7" t="s">
        <v>175</v>
      </c>
      <c r="C387" s="7" t="s">
        <v>56</v>
      </c>
      <c r="D387" s="8" t="str">
        <f t="shared" ref="D387:D450" si="6">UPPER(_xlfn.CONCAT(B387," ",C387))</f>
        <v>NEHA DUTTA</v>
      </c>
      <c r="E387" s="7" t="s">
        <v>57</v>
      </c>
      <c r="F387" s="7">
        <v>48</v>
      </c>
      <c r="G387" s="7" t="s">
        <v>50</v>
      </c>
      <c r="H387" s="7" t="s">
        <v>140</v>
      </c>
      <c r="I387" s="7" t="s">
        <v>1210</v>
      </c>
      <c r="J387" s="7">
        <v>71987</v>
      </c>
      <c r="K387" s="7" t="s">
        <v>18</v>
      </c>
      <c r="L387" s="7" t="s">
        <v>1211</v>
      </c>
      <c r="M387" s="7" t="s">
        <v>73</v>
      </c>
      <c r="N387" s="10" t="e">
        <f>VLOOKUP(G387,Departments!A386:C391,3,0)</f>
        <v>#N/A</v>
      </c>
      <c r="O387" s="13" t="e">
        <f>INDEX(Departments!C386:C391,MATCH(Employees!G387,Departments!A386:A391,0))</f>
        <v>#N/A</v>
      </c>
    </row>
    <row r="388" spans="1:15" x14ac:dyDescent="0.35">
      <c r="A388" s="6" t="s">
        <v>1212</v>
      </c>
      <c r="B388" s="6" t="s">
        <v>93</v>
      </c>
      <c r="C388" s="6" t="s">
        <v>162</v>
      </c>
      <c r="D388" s="8" t="str">
        <f t="shared" si="6"/>
        <v>JOHN DAS</v>
      </c>
      <c r="E388" s="6" t="s">
        <v>64</v>
      </c>
      <c r="F388" s="6">
        <v>52</v>
      </c>
      <c r="G388" s="6" t="s">
        <v>53</v>
      </c>
      <c r="H388" s="6" t="s">
        <v>76</v>
      </c>
      <c r="I388" s="6" t="s">
        <v>1213</v>
      </c>
      <c r="J388" s="6">
        <v>108773</v>
      </c>
      <c r="K388" s="6" t="s">
        <v>13</v>
      </c>
      <c r="L388" s="6" t="s">
        <v>1214</v>
      </c>
      <c r="M388" s="6" t="s">
        <v>73</v>
      </c>
      <c r="N388" s="10" t="e">
        <f>VLOOKUP(G388,Departments!A387:C392,3,0)</f>
        <v>#N/A</v>
      </c>
      <c r="O388" s="13" t="e">
        <f>INDEX(Departments!C387:C392,MATCH(Employees!G388,Departments!A387:A392,0))</f>
        <v>#N/A</v>
      </c>
    </row>
    <row r="389" spans="1:15" x14ac:dyDescent="0.35">
      <c r="A389" s="7" t="s">
        <v>1215</v>
      </c>
      <c r="B389" s="7" t="s">
        <v>104</v>
      </c>
      <c r="C389" s="7" t="s">
        <v>162</v>
      </c>
      <c r="D389" s="8" t="str">
        <f t="shared" si="6"/>
        <v>ANITA DAS</v>
      </c>
      <c r="E389" s="7" t="s">
        <v>57</v>
      </c>
      <c r="F389" s="7">
        <v>58</v>
      </c>
      <c r="G389" s="7" t="s">
        <v>51</v>
      </c>
      <c r="H389" s="7" t="s">
        <v>76</v>
      </c>
      <c r="I389" s="7" t="s">
        <v>1216</v>
      </c>
      <c r="J389" s="7">
        <v>115133</v>
      </c>
      <c r="K389" s="7" t="s">
        <v>18</v>
      </c>
      <c r="L389" s="7" t="s">
        <v>1217</v>
      </c>
      <c r="M389" s="7" t="s">
        <v>61</v>
      </c>
      <c r="N389" s="10" t="e">
        <f>VLOOKUP(G389,Departments!A388:C393,3,0)</f>
        <v>#N/A</v>
      </c>
      <c r="O389" s="13" t="e">
        <f>INDEX(Departments!C388:C393,MATCH(Employees!G389,Departments!A388:A393,0))</f>
        <v>#N/A</v>
      </c>
    </row>
    <row r="390" spans="1:15" x14ac:dyDescent="0.35">
      <c r="A390" s="6" t="s">
        <v>1218</v>
      </c>
      <c r="B390" s="6" t="s">
        <v>126</v>
      </c>
      <c r="C390" s="6" t="s">
        <v>197</v>
      </c>
      <c r="D390" s="8" t="str">
        <f t="shared" si="6"/>
        <v>PRIYA BROWN</v>
      </c>
      <c r="E390" s="6" t="s">
        <v>64</v>
      </c>
      <c r="F390" s="6">
        <v>50</v>
      </c>
      <c r="G390" s="6" t="s">
        <v>49</v>
      </c>
      <c r="H390" s="6" t="s">
        <v>65</v>
      </c>
      <c r="I390" s="6" t="s">
        <v>1219</v>
      </c>
      <c r="J390" s="6">
        <v>44417</v>
      </c>
      <c r="K390" s="6" t="s">
        <v>37</v>
      </c>
      <c r="L390" s="6" t="s">
        <v>1220</v>
      </c>
      <c r="M390" s="6" t="s">
        <v>73</v>
      </c>
      <c r="N390" s="10" t="e">
        <f>VLOOKUP(G390,Departments!A389:C394,3,0)</f>
        <v>#N/A</v>
      </c>
      <c r="O390" s="13" t="e">
        <f>INDEX(Departments!C389:C394,MATCH(Employees!G390,Departments!A389:A394,0))</f>
        <v>#N/A</v>
      </c>
    </row>
    <row r="391" spans="1:15" x14ac:dyDescent="0.35">
      <c r="A391" s="7" t="s">
        <v>1221</v>
      </c>
      <c r="B391" s="7" t="s">
        <v>69</v>
      </c>
      <c r="C391" s="7" t="s">
        <v>111</v>
      </c>
      <c r="D391" s="8" t="str">
        <f t="shared" si="6"/>
        <v>ROHIT KHAN</v>
      </c>
      <c r="E391" s="7" t="s">
        <v>64</v>
      </c>
      <c r="F391" s="7">
        <v>46</v>
      </c>
      <c r="G391" s="7" t="s">
        <v>52</v>
      </c>
      <c r="H391" s="7" t="s">
        <v>58</v>
      </c>
      <c r="I391" s="7" t="s">
        <v>1222</v>
      </c>
      <c r="J391" s="7">
        <v>107012</v>
      </c>
      <c r="K391" s="7" t="s">
        <v>28</v>
      </c>
      <c r="L391" s="7" t="s">
        <v>1223</v>
      </c>
      <c r="M391" s="7" t="s">
        <v>61</v>
      </c>
      <c r="N391" s="10" t="e">
        <f>VLOOKUP(G391,Departments!A390:C395,3,0)</f>
        <v>#N/A</v>
      </c>
      <c r="O391" s="13" t="e">
        <f>INDEX(Departments!C390:C395,MATCH(Employees!G391,Departments!A390:A395,0))</f>
        <v>#N/A</v>
      </c>
    </row>
    <row r="392" spans="1:15" x14ac:dyDescent="0.35">
      <c r="A392" s="6" t="s">
        <v>1224</v>
      </c>
      <c r="B392" s="6" t="s">
        <v>85</v>
      </c>
      <c r="C392" s="6" t="s">
        <v>111</v>
      </c>
      <c r="D392" s="8" t="str">
        <f t="shared" si="6"/>
        <v>RAHUL KHAN</v>
      </c>
      <c r="E392" s="6" t="s">
        <v>57</v>
      </c>
      <c r="F392" s="6">
        <v>23</v>
      </c>
      <c r="G392" s="6" t="s">
        <v>50</v>
      </c>
      <c r="H392" s="6" t="s">
        <v>65</v>
      </c>
      <c r="I392" s="6" t="s">
        <v>1225</v>
      </c>
      <c r="J392" s="6">
        <v>78597</v>
      </c>
      <c r="K392" s="6" t="s">
        <v>18</v>
      </c>
      <c r="L392" s="6" t="s">
        <v>1226</v>
      </c>
      <c r="M392" s="6" t="s">
        <v>61</v>
      </c>
      <c r="N392" s="10" t="e">
        <f>VLOOKUP(G392,Departments!A391:C396,3,0)</f>
        <v>#N/A</v>
      </c>
      <c r="O392" s="13" t="e">
        <f>INDEX(Departments!C391:C396,MATCH(Employees!G392,Departments!A391:A396,0))</f>
        <v>#N/A</v>
      </c>
    </row>
    <row r="393" spans="1:15" x14ac:dyDescent="0.35">
      <c r="A393" s="7" t="s">
        <v>1227</v>
      </c>
      <c r="B393" s="7" t="s">
        <v>93</v>
      </c>
      <c r="C393" s="7" t="s">
        <v>122</v>
      </c>
      <c r="D393" s="8" t="str">
        <f t="shared" si="6"/>
        <v>JOHN PAUL</v>
      </c>
      <c r="E393" s="7" t="s">
        <v>57</v>
      </c>
      <c r="F393" s="7">
        <v>44</v>
      </c>
      <c r="G393" s="7" t="s">
        <v>51</v>
      </c>
      <c r="H393" s="7" t="s">
        <v>140</v>
      </c>
      <c r="I393" s="7" t="s">
        <v>1228</v>
      </c>
      <c r="J393" s="7">
        <v>77085</v>
      </c>
      <c r="K393" s="7" t="s">
        <v>37</v>
      </c>
      <c r="L393" s="7" t="s">
        <v>1229</v>
      </c>
      <c r="M393" s="7" t="s">
        <v>73</v>
      </c>
      <c r="N393" s="10" t="e">
        <f>VLOOKUP(G393,Departments!A392:C397,3,0)</f>
        <v>#N/A</v>
      </c>
      <c r="O393" s="13" t="e">
        <f>INDEX(Departments!C392:C397,MATCH(Employees!G393,Departments!A392:A397,0))</f>
        <v>#N/A</v>
      </c>
    </row>
    <row r="394" spans="1:15" x14ac:dyDescent="0.35">
      <c r="A394" s="6" t="s">
        <v>1230</v>
      </c>
      <c r="B394" s="6" t="s">
        <v>80</v>
      </c>
      <c r="C394" s="6" t="s">
        <v>122</v>
      </c>
      <c r="D394" s="8" t="str">
        <f t="shared" si="6"/>
        <v>JANE PAUL</v>
      </c>
      <c r="E394" s="6" t="s">
        <v>64</v>
      </c>
      <c r="F394" s="6">
        <v>52</v>
      </c>
      <c r="G394" s="6" t="s">
        <v>50</v>
      </c>
      <c r="H394" s="6" t="s">
        <v>140</v>
      </c>
      <c r="I394" s="6" t="s">
        <v>1231</v>
      </c>
      <c r="J394" s="6">
        <v>98031</v>
      </c>
      <c r="K394" s="6" t="s">
        <v>13</v>
      </c>
      <c r="L394" s="6" t="s">
        <v>1232</v>
      </c>
      <c r="M394" s="6" t="s">
        <v>73</v>
      </c>
      <c r="N394" s="10" t="e">
        <f>VLOOKUP(G394,Departments!A393:C398,3,0)</f>
        <v>#N/A</v>
      </c>
      <c r="O394" s="13" t="e">
        <f>INDEX(Departments!C393:C398,MATCH(Employees!G394,Departments!A393:A398,0))</f>
        <v>#N/A</v>
      </c>
    </row>
    <row r="395" spans="1:15" x14ac:dyDescent="0.35">
      <c r="A395" s="7" t="s">
        <v>1233</v>
      </c>
      <c r="B395" s="7" t="s">
        <v>89</v>
      </c>
      <c r="C395" s="7" t="s">
        <v>115</v>
      </c>
      <c r="D395" s="8" t="str">
        <f t="shared" si="6"/>
        <v>SARA SEN</v>
      </c>
      <c r="E395" s="7" t="s">
        <v>64</v>
      </c>
      <c r="F395" s="7">
        <v>47</v>
      </c>
      <c r="G395" s="7" t="s">
        <v>52</v>
      </c>
      <c r="H395" s="7" t="s">
        <v>65</v>
      </c>
      <c r="I395" s="7" t="s">
        <v>1234</v>
      </c>
      <c r="J395" s="7">
        <v>59479</v>
      </c>
      <c r="K395" s="7" t="s">
        <v>18</v>
      </c>
      <c r="L395" s="7" t="s">
        <v>1235</v>
      </c>
      <c r="M395" s="7" t="s">
        <v>73</v>
      </c>
      <c r="N395" s="10" t="e">
        <f>VLOOKUP(G395,Departments!A394:C399,3,0)</f>
        <v>#N/A</v>
      </c>
      <c r="O395" s="13" t="e">
        <f>INDEX(Departments!C394:C399,MATCH(Employees!G395,Departments!A394:A399,0))</f>
        <v>#N/A</v>
      </c>
    </row>
    <row r="396" spans="1:15" x14ac:dyDescent="0.35">
      <c r="A396" s="6" t="s">
        <v>1236</v>
      </c>
      <c r="B396" s="6" t="s">
        <v>85</v>
      </c>
      <c r="C396" s="6" t="s">
        <v>56</v>
      </c>
      <c r="D396" s="8" t="str">
        <f t="shared" si="6"/>
        <v>RAHUL DUTTA</v>
      </c>
      <c r="E396" s="6" t="s">
        <v>64</v>
      </c>
      <c r="F396" s="6">
        <v>25</v>
      </c>
      <c r="G396" s="6" t="s">
        <v>50</v>
      </c>
      <c r="H396" s="6" t="s">
        <v>76</v>
      </c>
      <c r="I396" s="6" t="s">
        <v>1237</v>
      </c>
      <c r="J396" s="6">
        <v>82566</v>
      </c>
      <c r="K396" s="6" t="s">
        <v>30</v>
      </c>
      <c r="L396" s="6" t="s">
        <v>1238</v>
      </c>
      <c r="M396" s="6" t="s">
        <v>61</v>
      </c>
      <c r="N396" s="10" t="e">
        <f>VLOOKUP(G396,Departments!A395:C400,3,0)</f>
        <v>#N/A</v>
      </c>
      <c r="O396" s="13" t="e">
        <f>INDEX(Departments!C395:C400,MATCH(Employees!G396,Departments!A395:A400,0))</f>
        <v>#N/A</v>
      </c>
    </row>
    <row r="397" spans="1:15" x14ac:dyDescent="0.35">
      <c r="A397" s="7" t="s">
        <v>1239</v>
      </c>
      <c r="B397" s="7" t="s">
        <v>69</v>
      </c>
      <c r="C397" s="7" t="s">
        <v>197</v>
      </c>
      <c r="D397" s="8" t="str">
        <f t="shared" si="6"/>
        <v>ROHIT BROWN</v>
      </c>
      <c r="E397" s="7" t="s">
        <v>57</v>
      </c>
      <c r="F397" s="7">
        <v>37</v>
      </c>
      <c r="G397" s="7" t="s">
        <v>50</v>
      </c>
      <c r="H397" s="7" t="s">
        <v>76</v>
      </c>
      <c r="I397" s="7" t="s">
        <v>1240</v>
      </c>
      <c r="J397" s="7">
        <v>90050</v>
      </c>
      <c r="K397" s="7" t="s">
        <v>28</v>
      </c>
      <c r="L397" s="7" t="s">
        <v>1241</v>
      </c>
      <c r="M397" s="7" t="s">
        <v>61</v>
      </c>
      <c r="N397" s="10" t="e">
        <f>VLOOKUP(G397,Departments!A396:C401,3,0)</f>
        <v>#N/A</v>
      </c>
      <c r="O397" s="13" t="e">
        <f>INDEX(Departments!C396:C401,MATCH(Employees!G397,Departments!A396:A401,0))</f>
        <v>#N/A</v>
      </c>
    </row>
    <row r="398" spans="1:15" x14ac:dyDescent="0.35">
      <c r="A398" s="6" t="s">
        <v>1242</v>
      </c>
      <c r="B398" s="6" t="s">
        <v>75</v>
      </c>
      <c r="C398" s="6" t="s">
        <v>162</v>
      </c>
      <c r="D398" s="8" t="str">
        <f t="shared" si="6"/>
        <v>DAVID DAS</v>
      </c>
      <c r="E398" s="6" t="s">
        <v>64</v>
      </c>
      <c r="F398" s="6">
        <v>54</v>
      </c>
      <c r="G398" s="6" t="s">
        <v>49</v>
      </c>
      <c r="H398" s="6" t="s">
        <v>65</v>
      </c>
      <c r="I398" s="6" t="s">
        <v>1243</v>
      </c>
      <c r="J398" s="6">
        <v>56447</v>
      </c>
      <c r="K398" s="6" t="s">
        <v>30</v>
      </c>
      <c r="L398" s="6" t="s">
        <v>1244</v>
      </c>
      <c r="M398" s="6" t="s">
        <v>73</v>
      </c>
      <c r="N398" s="10" t="e">
        <f>VLOOKUP(G398,Departments!A397:C402,3,0)</f>
        <v>#N/A</v>
      </c>
      <c r="O398" s="13" t="e">
        <f>INDEX(Departments!C397:C402,MATCH(Employees!G398,Departments!A397:A402,0))</f>
        <v>#N/A</v>
      </c>
    </row>
    <row r="399" spans="1:15" x14ac:dyDescent="0.35">
      <c r="A399" s="7" t="s">
        <v>1245</v>
      </c>
      <c r="B399" s="7" t="s">
        <v>104</v>
      </c>
      <c r="C399" s="7" t="s">
        <v>197</v>
      </c>
      <c r="D399" s="8" t="str">
        <f t="shared" si="6"/>
        <v>ANITA BROWN</v>
      </c>
      <c r="E399" s="7" t="s">
        <v>64</v>
      </c>
      <c r="F399" s="7">
        <v>47</v>
      </c>
      <c r="G399" s="7" t="s">
        <v>52</v>
      </c>
      <c r="H399" s="7" t="s">
        <v>58</v>
      </c>
      <c r="I399" s="7" t="s">
        <v>1246</v>
      </c>
      <c r="J399" s="7">
        <v>76082</v>
      </c>
      <c r="K399" s="7" t="s">
        <v>28</v>
      </c>
      <c r="L399" s="7" t="s">
        <v>1247</v>
      </c>
      <c r="M399" s="7" t="s">
        <v>73</v>
      </c>
      <c r="N399" s="10" t="e">
        <f>VLOOKUP(G399,Departments!A398:C403,3,0)</f>
        <v>#N/A</v>
      </c>
      <c r="O399" s="13" t="e">
        <f>INDEX(Departments!C398:C403,MATCH(Employees!G399,Departments!A398:A403,0))</f>
        <v>#N/A</v>
      </c>
    </row>
    <row r="400" spans="1:15" x14ac:dyDescent="0.35">
      <c r="A400" s="6" t="s">
        <v>1248</v>
      </c>
      <c r="B400" s="6" t="s">
        <v>80</v>
      </c>
      <c r="C400" s="6" t="s">
        <v>81</v>
      </c>
      <c r="D400" s="8" t="str">
        <f t="shared" si="6"/>
        <v>JANE GHOSH</v>
      </c>
      <c r="E400" s="6" t="s">
        <v>64</v>
      </c>
      <c r="F400" s="6">
        <v>28</v>
      </c>
      <c r="G400" s="6" t="s">
        <v>50</v>
      </c>
      <c r="H400" s="6" t="s">
        <v>65</v>
      </c>
      <c r="I400" s="6" t="s">
        <v>653</v>
      </c>
      <c r="J400" s="6">
        <v>98535</v>
      </c>
      <c r="K400" s="6" t="s">
        <v>13</v>
      </c>
      <c r="L400" s="6" t="s">
        <v>1249</v>
      </c>
      <c r="M400" s="6" t="s">
        <v>61</v>
      </c>
      <c r="N400" s="10" t="e">
        <f>VLOOKUP(G400,Departments!A399:C404,3,0)</f>
        <v>#N/A</v>
      </c>
      <c r="O400" s="13" t="e">
        <f>INDEX(Departments!C399:C404,MATCH(Employees!G400,Departments!A399:A404,0))</f>
        <v>#N/A</v>
      </c>
    </row>
    <row r="401" spans="1:15" x14ac:dyDescent="0.35">
      <c r="A401" s="7" t="s">
        <v>1250</v>
      </c>
      <c r="B401" s="7" t="s">
        <v>126</v>
      </c>
      <c r="C401" s="7" t="s">
        <v>162</v>
      </c>
      <c r="D401" s="8" t="str">
        <f t="shared" si="6"/>
        <v>PRIYA DAS</v>
      </c>
      <c r="E401" s="7" t="s">
        <v>57</v>
      </c>
      <c r="F401" s="7">
        <v>39</v>
      </c>
      <c r="G401" s="7" t="s">
        <v>49</v>
      </c>
      <c r="H401" s="7" t="s">
        <v>140</v>
      </c>
      <c r="I401" s="7" t="s">
        <v>1251</v>
      </c>
      <c r="J401" s="7">
        <v>44551</v>
      </c>
      <c r="K401" s="7" t="s">
        <v>18</v>
      </c>
      <c r="L401" s="7" t="s">
        <v>1252</v>
      </c>
      <c r="M401" s="7" t="s">
        <v>61</v>
      </c>
      <c r="N401" s="10" t="e">
        <f>VLOOKUP(G401,Departments!A400:C405,3,0)</f>
        <v>#N/A</v>
      </c>
      <c r="O401" s="13" t="e">
        <f>INDEX(Departments!C400:C405,MATCH(Employees!G401,Departments!A400:A405,0))</f>
        <v>#N/A</v>
      </c>
    </row>
    <row r="402" spans="1:15" x14ac:dyDescent="0.35">
      <c r="A402" s="6" t="s">
        <v>1253</v>
      </c>
      <c r="B402" s="6" t="s">
        <v>104</v>
      </c>
      <c r="C402" s="6" t="s">
        <v>63</v>
      </c>
      <c r="D402" s="8" t="str">
        <f t="shared" si="6"/>
        <v>ANITA ROY</v>
      </c>
      <c r="E402" s="6" t="s">
        <v>57</v>
      </c>
      <c r="F402" s="6">
        <v>40</v>
      </c>
      <c r="G402" s="6" t="s">
        <v>50</v>
      </c>
      <c r="H402" s="6" t="s">
        <v>70</v>
      </c>
      <c r="I402" s="6" t="s">
        <v>1254</v>
      </c>
      <c r="J402" s="6">
        <v>111797</v>
      </c>
      <c r="K402" s="6" t="s">
        <v>13</v>
      </c>
      <c r="L402" s="6" t="s">
        <v>1255</v>
      </c>
      <c r="M402" s="6" t="s">
        <v>73</v>
      </c>
      <c r="N402" s="10" t="e">
        <f>VLOOKUP(G402,Departments!A401:C406,3,0)</f>
        <v>#N/A</v>
      </c>
      <c r="O402" s="13" t="e">
        <f>INDEX(Departments!C401:C406,MATCH(Employees!G402,Departments!A401:A406,0))</f>
        <v>#N/A</v>
      </c>
    </row>
    <row r="403" spans="1:15" x14ac:dyDescent="0.35">
      <c r="A403" s="7" t="s">
        <v>1256</v>
      </c>
      <c r="B403" s="7" t="s">
        <v>104</v>
      </c>
      <c r="C403" s="7" t="s">
        <v>122</v>
      </c>
      <c r="D403" s="8" t="str">
        <f t="shared" si="6"/>
        <v>ANITA PAUL</v>
      </c>
      <c r="E403" s="7" t="s">
        <v>64</v>
      </c>
      <c r="F403" s="7">
        <v>43</v>
      </c>
      <c r="G403" s="7" t="s">
        <v>49</v>
      </c>
      <c r="H403" s="7" t="s">
        <v>65</v>
      </c>
      <c r="I403" s="7" t="s">
        <v>1257</v>
      </c>
      <c r="J403" s="7">
        <v>40238</v>
      </c>
      <c r="K403" s="7" t="s">
        <v>30</v>
      </c>
      <c r="L403" s="7" t="s">
        <v>1258</v>
      </c>
      <c r="M403" s="7" t="s">
        <v>61</v>
      </c>
      <c r="N403" s="10" t="e">
        <f>VLOOKUP(G403,Departments!A402:C407,3,0)</f>
        <v>#N/A</v>
      </c>
      <c r="O403" s="13" t="e">
        <f>INDEX(Departments!C402:C407,MATCH(Employees!G403,Departments!A402:A407,0))</f>
        <v>#N/A</v>
      </c>
    </row>
    <row r="404" spans="1:15" x14ac:dyDescent="0.35">
      <c r="A404" s="6" t="s">
        <v>1259</v>
      </c>
      <c r="B404" s="6" t="s">
        <v>104</v>
      </c>
      <c r="C404" s="6" t="s">
        <v>197</v>
      </c>
      <c r="D404" s="8" t="str">
        <f t="shared" si="6"/>
        <v>ANITA BROWN</v>
      </c>
      <c r="E404" s="6" t="s">
        <v>57</v>
      </c>
      <c r="F404" s="6">
        <v>55</v>
      </c>
      <c r="G404" s="6" t="s">
        <v>52</v>
      </c>
      <c r="H404" s="6" t="s">
        <v>58</v>
      </c>
      <c r="I404" s="6" t="s">
        <v>1260</v>
      </c>
      <c r="J404" s="6">
        <v>70077</v>
      </c>
      <c r="K404" s="6" t="s">
        <v>18</v>
      </c>
      <c r="L404" s="6" t="s">
        <v>1261</v>
      </c>
      <c r="M404" s="6" t="s">
        <v>61</v>
      </c>
      <c r="N404" s="10" t="e">
        <f>VLOOKUP(G404,Departments!A403:C408,3,0)</f>
        <v>#N/A</v>
      </c>
      <c r="O404" s="13" t="e">
        <f>INDEX(Departments!C403:C408,MATCH(Employees!G404,Departments!A403:A408,0))</f>
        <v>#N/A</v>
      </c>
    </row>
    <row r="405" spans="1:15" x14ac:dyDescent="0.35">
      <c r="A405" s="7" t="s">
        <v>1262</v>
      </c>
      <c r="B405" s="7" t="s">
        <v>80</v>
      </c>
      <c r="C405" s="7" t="s">
        <v>56</v>
      </c>
      <c r="D405" s="8" t="str">
        <f t="shared" si="6"/>
        <v>JANE DUTTA</v>
      </c>
      <c r="E405" s="7" t="s">
        <v>64</v>
      </c>
      <c r="F405" s="7">
        <v>57</v>
      </c>
      <c r="G405" s="7" t="s">
        <v>49</v>
      </c>
      <c r="H405" s="7" t="s">
        <v>58</v>
      </c>
      <c r="I405" s="7" t="s">
        <v>1263</v>
      </c>
      <c r="J405" s="7">
        <v>107382</v>
      </c>
      <c r="K405" s="7" t="s">
        <v>30</v>
      </c>
      <c r="L405" s="7" t="s">
        <v>1264</v>
      </c>
      <c r="M405" s="7" t="s">
        <v>73</v>
      </c>
      <c r="N405" s="10" t="e">
        <f>VLOOKUP(G405,Departments!A404:C409,3,0)</f>
        <v>#N/A</v>
      </c>
      <c r="O405" s="13" t="e">
        <f>INDEX(Departments!C404:C409,MATCH(Employees!G405,Departments!A404:A409,0))</f>
        <v>#N/A</v>
      </c>
    </row>
    <row r="406" spans="1:15" x14ac:dyDescent="0.35">
      <c r="A406" s="6" t="s">
        <v>1265</v>
      </c>
      <c r="B406" s="6" t="s">
        <v>126</v>
      </c>
      <c r="C406" s="6" t="s">
        <v>127</v>
      </c>
      <c r="D406" s="8" t="str">
        <f t="shared" si="6"/>
        <v>PRIYA SMITH</v>
      </c>
      <c r="E406" s="6" t="s">
        <v>57</v>
      </c>
      <c r="F406" s="6">
        <v>24</v>
      </c>
      <c r="G406" s="6" t="s">
        <v>50</v>
      </c>
      <c r="H406" s="6" t="s">
        <v>65</v>
      </c>
      <c r="I406" s="6" t="s">
        <v>1266</v>
      </c>
      <c r="J406" s="6">
        <v>54413</v>
      </c>
      <c r="K406" s="6" t="s">
        <v>28</v>
      </c>
      <c r="L406" s="6" t="s">
        <v>1267</v>
      </c>
      <c r="M406" s="6" t="s">
        <v>61</v>
      </c>
      <c r="N406" s="10" t="e">
        <f>VLOOKUP(G406,Departments!A405:C410,3,0)</f>
        <v>#N/A</v>
      </c>
      <c r="O406" s="13" t="e">
        <f>INDEX(Departments!C405:C410,MATCH(Employees!G406,Departments!A405:A410,0))</f>
        <v>#N/A</v>
      </c>
    </row>
    <row r="407" spans="1:15" x14ac:dyDescent="0.35">
      <c r="A407" s="7" t="s">
        <v>1268</v>
      </c>
      <c r="B407" s="7" t="s">
        <v>175</v>
      </c>
      <c r="C407" s="7" t="s">
        <v>63</v>
      </c>
      <c r="D407" s="8" t="str">
        <f t="shared" si="6"/>
        <v>NEHA ROY</v>
      </c>
      <c r="E407" s="7" t="s">
        <v>64</v>
      </c>
      <c r="F407" s="7">
        <v>37</v>
      </c>
      <c r="G407" s="7" t="s">
        <v>52</v>
      </c>
      <c r="H407" s="7" t="s">
        <v>140</v>
      </c>
      <c r="I407" s="7" t="s">
        <v>1269</v>
      </c>
      <c r="J407" s="7">
        <v>40061</v>
      </c>
      <c r="K407" s="7" t="s">
        <v>28</v>
      </c>
      <c r="L407" s="7" t="s">
        <v>1270</v>
      </c>
      <c r="M407" s="7" t="s">
        <v>61</v>
      </c>
      <c r="N407" s="10" t="e">
        <f>VLOOKUP(G407,Departments!A406:C411,3,0)</f>
        <v>#N/A</v>
      </c>
      <c r="O407" s="13" t="e">
        <f>INDEX(Departments!C406:C411,MATCH(Employees!G407,Departments!A406:A411,0))</f>
        <v>#N/A</v>
      </c>
    </row>
    <row r="408" spans="1:15" x14ac:dyDescent="0.35">
      <c r="A408" s="6" t="s">
        <v>1271</v>
      </c>
      <c r="B408" s="6" t="s">
        <v>69</v>
      </c>
      <c r="C408" s="6" t="s">
        <v>127</v>
      </c>
      <c r="D408" s="8" t="str">
        <f t="shared" si="6"/>
        <v>ROHIT SMITH</v>
      </c>
      <c r="E408" s="6" t="s">
        <v>64</v>
      </c>
      <c r="F408" s="6">
        <v>45</v>
      </c>
      <c r="G408" s="6" t="s">
        <v>53</v>
      </c>
      <c r="H408" s="6" t="s">
        <v>140</v>
      </c>
      <c r="I408" s="6" t="s">
        <v>1272</v>
      </c>
      <c r="J408" s="6">
        <v>89039</v>
      </c>
      <c r="K408" s="6" t="s">
        <v>18</v>
      </c>
      <c r="L408" s="6" t="s">
        <v>1273</v>
      </c>
      <c r="M408" s="6" t="s">
        <v>61</v>
      </c>
      <c r="N408" s="10" t="e">
        <f>VLOOKUP(G408,Departments!A407:C412,3,0)</f>
        <v>#N/A</v>
      </c>
      <c r="O408" s="13" t="e">
        <f>INDEX(Departments!C407:C412,MATCH(Employees!G408,Departments!A407:A412,0))</f>
        <v>#N/A</v>
      </c>
    </row>
    <row r="409" spans="1:15" x14ac:dyDescent="0.35">
      <c r="A409" s="7" t="s">
        <v>1274</v>
      </c>
      <c r="B409" s="7" t="s">
        <v>104</v>
      </c>
      <c r="C409" s="7" t="s">
        <v>97</v>
      </c>
      <c r="D409" s="8" t="str">
        <f t="shared" si="6"/>
        <v>ANITA SINGH</v>
      </c>
      <c r="E409" s="7" t="s">
        <v>57</v>
      </c>
      <c r="F409" s="7">
        <v>30</v>
      </c>
      <c r="G409" s="7" t="s">
        <v>53</v>
      </c>
      <c r="H409" s="7" t="s">
        <v>76</v>
      </c>
      <c r="I409" s="7" t="s">
        <v>1275</v>
      </c>
      <c r="J409" s="7">
        <v>41334</v>
      </c>
      <c r="K409" s="7" t="s">
        <v>18</v>
      </c>
      <c r="L409" s="7" t="s">
        <v>1276</v>
      </c>
      <c r="M409" s="7" t="s">
        <v>61</v>
      </c>
      <c r="N409" s="10" t="e">
        <f>VLOOKUP(G409,Departments!A408:C413,3,0)</f>
        <v>#N/A</v>
      </c>
      <c r="O409" s="13" t="e">
        <f>INDEX(Departments!C408:C413,MATCH(Employees!G409,Departments!A408:A413,0))</f>
        <v>#N/A</v>
      </c>
    </row>
    <row r="410" spans="1:15" x14ac:dyDescent="0.35">
      <c r="A410" s="6" t="s">
        <v>1277</v>
      </c>
      <c r="B410" s="6" t="s">
        <v>85</v>
      </c>
      <c r="C410" s="6" t="s">
        <v>197</v>
      </c>
      <c r="D410" s="8" t="str">
        <f t="shared" si="6"/>
        <v>RAHUL BROWN</v>
      </c>
      <c r="E410" s="6" t="s">
        <v>57</v>
      </c>
      <c r="F410" s="6">
        <v>55</v>
      </c>
      <c r="G410" s="6" t="s">
        <v>51</v>
      </c>
      <c r="H410" s="6" t="s">
        <v>58</v>
      </c>
      <c r="I410" s="6" t="s">
        <v>1278</v>
      </c>
      <c r="J410" s="6">
        <v>108930</v>
      </c>
      <c r="K410" s="6" t="s">
        <v>13</v>
      </c>
      <c r="L410" s="6" t="s">
        <v>1279</v>
      </c>
      <c r="M410" s="6" t="s">
        <v>73</v>
      </c>
      <c r="N410" s="10" t="e">
        <f>VLOOKUP(G410,Departments!A409:C414,3,0)</f>
        <v>#N/A</v>
      </c>
      <c r="O410" s="13" t="e">
        <f>INDEX(Departments!C409:C414,MATCH(Employees!G410,Departments!A409:A414,0))</f>
        <v>#N/A</v>
      </c>
    </row>
    <row r="411" spans="1:15" x14ac:dyDescent="0.35">
      <c r="A411" s="7" t="s">
        <v>1280</v>
      </c>
      <c r="B411" s="7" t="s">
        <v>104</v>
      </c>
      <c r="C411" s="7" t="s">
        <v>122</v>
      </c>
      <c r="D411" s="8" t="str">
        <f t="shared" si="6"/>
        <v>ANITA PAUL</v>
      </c>
      <c r="E411" s="7" t="s">
        <v>57</v>
      </c>
      <c r="F411" s="7">
        <v>31</v>
      </c>
      <c r="G411" s="7" t="s">
        <v>50</v>
      </c>
      <c r="H411" s="7" t="s">
        <v>65</v>
      </c>
      <c r="I411" s="7" t="s">
        <v>1281</v>
      </c>
      <c r="J411" s="7">
        <v>78935</v>
      </c>
      <c r="K411" s="7" t="s">
        <v>30</v>
      </c>
      <c r="L411" s="7" t="s">
        <v>1282</v>
      </c>
      <c r="M411" s="7" t="s">
        <v>73</v>
      </c>
      <c r="N411" s="10" t="e">
        <f>VLOOKUP(G411,Departments!A410:C415,3,0)</f>
        <v>#N/A</v>
      </c>
      <c r="O411" s="13" t="e">
        <f>INDEX(Departments!C410:C415,MATCH(Employees!G411,Departments!A410:A415,0))</f>
        <v>#N/A</v>
      </c>
    </row>
    <row r="412" spans="1:15" x14ac:dyDescent="0.35">
      <c r="A412" s="6" t="s">
        <v>1283</v>
      </c>
      <c r="B412" s="6" t="s">
        <v>75</v>
      </c>
      <c r="C412" s="6" t="s">
        <v>111</v>
      </c>
      <c r="D412" s="8" t="str">
        <f t="shared" si="6"/>
        <v>DAVID KHAN</v>
      </c>
      <c r="E412" s="6" t="s">
        <v>64</v>
      </c>
      <c r="F412" s="6">
        <v>34</v>
      </c>
      <c r="G412" s="6" t="s">
        <v>50</v>
      </c>
      <c r="H412" s="6" t="s">
        <v>76</v>
      </c>
      <c r="I412" s="6" t="s">
        <v>1284</v>
      </c>
      <c r="J412" s="6">
        <v>68187</v>
      </c>
      <c r="K412" s="6" t="s">
        <v>30</v>
      </c>
      <c r="L412" s="6" t="s">
        <v>1285</v>
      </c>
      <c r="M412" s="6" t="s">
        <v>61</v>
      </c>
      <c r="N412" s="10" t="e">
        <f>VLOOKUP(G412,Departments!A411:C416,3,0)</f>
        <v>#N/A</v>
      </c>
      <c r="O412" s="13" t="e">
        <f>INDEX(Departments!C411:C416,MATCH(Employees!G412,Departments!A411:A416,0))</f>
        <v>#N/A</v>
      </c>
    </row>
    <row r="413" spans="1:15" x14ac:dyDescent="0.35">
      <c r="A413" s="7" t="s">
        <v>1286</v>
      </c>
      <c r="B413" s="7" t="s">
        <v>55</v>
      </c>
      <c r="C413" s="7" t="s">
        <v>81</v>
      </c>
      <c r="D413" s="8" t="str">
        <f t="shared" si="6"/>
        <v>AMIT GHOSH</v>
      </c>
      <c r="E413" s="7" t="s">
        <v>57</v>
      </c>
      <c r="F413" s="7">
        <v>51</v>
      </c>
      <c r="G413" s="7" t="s">
        <v>51</v>
      </c>
      <c r="H413" s="7" t="s">
        <v>65</v>
      </c>
      <c r="I413" s="7" t="s">
        <v>1287</v>
      </c>
      <c r="J413" s="7">
        <v>56816</v>
      </c>
      <c r="K413" s="7" t="s">
        <v>28</v>
      </c>
      <c r="L413" s="7" t="s">
        <v>1288</v>
      </c>
      <c r="M413" s="7" t="s">
        <v>61</v>
      </c>
      <c r="N413" s="10" t="e">
        <f>VLOOKUP(G413,Departments!A412:C417,3,0)</f>
        <v>#N/A</v>
      </c>
      <c r="O413" s="13" t="e">
        <f>INDEX(Departments!C412:C417,MATCH(Employees!G413,Departments!A412:A417,0))</f>
        <v>#N/A</v>
      </c>
    </row>
    <row r="414" spans="1:15" x14ac:dyDescent="0.35">
      <c r="A414" s="6" t="s">
        <v>1289</v>
      </c>
      <c r="B414" s="6" t="s">
        <v>93</v>
      </c>
      <c r="C414" s="6" t="s">
        <v>56</v>
      </c>
      <c r="D414" s="8" t="str">
        <f t="shared" si="6"/>
        <v>JOHN DUTTA</v>
      </c>
      <c r="E414" s="6" t="s">
        <v>57</v>
      </c>
      <c r="F414" s="6">
        <v>29</v>
      </c>
      <c r="G414" s="6" t="s">
        <v>51</v>
      </c>
      <c r="H414" s="6" t="s">
        <v>58</v>
      </c>
      <c r="I414" s="6" t="s">
        <v>1290</v>
      </c>
      <c r="J414" s="6">
        <v>102232</v>
      </c>
      <c r="K414" s="6" t="s">
        <v>30</v>
      </c>
      <c r="L414" s="6" t="s">
        <v>1291</v>
      </c>
      <c r="M414" s="6" t="s">
        <v>61</v>
      </c>
      <c r="N414" s="10" t="e">
        <f>VLOOKUP(G414,Departments!A413:C418,3,0)</f>
        <v>#N/A</v>
      </c>
      <c r="O414" s="13" t="e">
        <f>INDEX(Departments!C413:C418,MATCH(Employees!G414,Departments!A413:A418,0))</f>
        <v>#N/A</v>
      </c>
    </row>
    <row r="415" spans="1:15" x14ac:dyDescent="0.35">
      <c r="A415" s="7" t="s">
        <v>1292</v>
      </c>
      <c r="B415" s="7" t="s">
        <v>93</v>
      </c>
      <c r="C415" s="7" t="s">
        <v>81</v>
      </c>
      <c r="D415" s="8" t="str">
        <f t="shared" si="6"/>
        <v>JOHN GHOSH</v>
      </c>
      <c r="E415" s="7" t="s">
        <v>64</v>
      </c>
      <c r="F415" s="7">
        <v>38</v>
      </c>
      <c r="G415" s="7" t="s">
        <v>50</v>
      </c>
      <c r="H415" s="7" t="s">
        <v>140</v>
      </c>
      <c r="I415" s="7" t="s">
        <v>1293</v>
      </c>
      <c r="J415" s="7">
        <v>99123</v>
      </c>
      <c r="K415" s="7" t="s">
        <v>30</v>
      </c>
      <c r="L415" s="7" t="s">
        <v>1294</v>
      </c>
      <c r="M415" s="7" t="s">
        <v>73</v>
      </c>
      <c r="N415" s="10" t="e">
        <f>VLOOKUP(G415,Departments!A414:C419,3,0)</f>
        <v>#N/A</v>
      </c>
      <c r="O415" s="13" t="e">
        <f>INDEX(Departments!C414:C419,MATCH(Employees!G415,Departments!A414:A419,0))</f>
        <v>#N/A</v>
      </c>
    </row>
    <row r="416" spans="1:15" x14ac:dyDescent="0.35">
      <c r="A416" s="6" t="s">
        <v>1295</v>
      </c>
      <c r="B416" s="6" t="s">
        <v>89</v>
      </c>
      <c r="C416" s="6" t="s">
        <v>56</v>
      </c>
      <c r="D416" s="8" t="str">
        <f t="shared" si="6"/>
        <v>SARA DUTTA</v>
      </c>
      <c r="E416" s="6" t="s">
        <v>57</v>
      </c>
      <c r="F416" s="6">
        <v>23</v>
      </c>
      <c r="G416" s="6" t="s">
        <v>53</v>
      </c>
      <c r="H416" s="6" t="s">
        <v>70</v>
      </c>
      <c r="I416" s="6" t="s">
        <v>1296</v>
      </c>
      <c r="J416" s="6">
        <v>44686</v>
      </c>
      <c r="K416" s="6" t="s">
        <v>13</v>
      </c>
      <c r="L416" s="6" t="s">
        <v>1297</v>
      </c>
      <c r="M416" s="6" t="s">
        <v>61</v>
      </c>
      <c r="N416" s="10" t="e">
        <f>VLOOKUP(G416,Departments!A415:C420,3,0)</f>
        <v>#N/A</v>
      </c>
      <c r="O416" s="13" t="e">
        <f>INDEX(Departments!C415:C420,MATCH(Employees!G416,Departments!A415:A420,0))</f>
        <v>#N/A</v>
      </c>
    </row>
    <row r="417" spans="1:15" x14ac:dyDescent="0.35">
      <c r="A417" s="7" t="s">
        <v>1298</v>
      </c>
      <c r="B417" s="7" t="s">
        <v>89</v>
      </c>
      <c r="C417" s="7" t="s">
        <v>197</v>
      </c>
      <c r="D417" s="8" t="str">
        <f t="shared" si="6"/>
        <v>SARA BROWN</v>
      </c>
      <c r="E417" s="7" t="s">
        <v>64</v>
      </c>
      <c r="F417" s="7">
        <v>57</v>
      </c>
      <c r="G417" s="7" t="s">
        <v>52</v>
      </c>
      <c r="H417" s="7" t="s">
        <v>65</v>
      </c>
      <c r="I417" s="7" t="s">
        <v>1299</v>
      </c>
      <c r="J417" s="7">
        <v>104342</v>
      </c>
      <c r="K417" s="7" t="s">
        <v>37</v>
      </c>
      <c r="L417" s="7" t="s">
        <v>1300</v>
      </c>
      <c r="M417" s="7" t="s">
        <v>73</v>
      </c>
      <c r="N417" s="10" t="e">
        <f>VLOOKUP(G417,Departments!A416:C421,3,0)</f>
        <v>#N/A</v>
      </c>
      <c r="O417" s="13" t="e">
        <f>INDEX(Departments!C416:C421,MATCH(Employees!G417,Departments!A416:A421,0))</f>
        <v>#N/A</v>
      </c>
    </row>
    <row r="418" spans="1:15" x14ac:dyDescent="0.35">
      <c r="A418" s="6" t="s">
        <v>1301</v>
      </c>
      <c r="B418" s="6" t="s">
        <v>69</v>
      </c>
      <c r="C418" s="6" t="s">
        <v>115</v>
      </c>
      <c r="D418" s="8" t="str">
        <f t="shared" si="6"/>
        <v>ROHIT SEN</v>
      </c>
      <c r="E418" s="6" t="s">
        <v>64</v>
      </c>
      <c r="F418" s="6">
        <v>40</v>
      </c>
      <c r="G418" s="6" t="s">
        <v>49</v>
      </c>
      <c r="H418" s="6" t="s">
        <v>65</v>
      </c>
      <c r="I418" s="6" t="s">
        <v>1302</v>
      </c>
      <c r="J418" s="6">
        <v>116236</v>
      </c>
      <c r="K418" s="6" t="s">
        <v>28</v>
      </c>
      <c r="L418" s="6" t="s">
        <v>1303</v>
      </c>
      <c r="M418" s="6" t="s">
        <v>73</v>
      </c>
      <c r="N418" s="10" t="e">
        <f>VLOOKUP(G418,Departments!A417:C422,3,0)</f>
        <v>#N/A</v>
      </c>
      <c r="O418" s="13" t="e">
        <f>INDEX(Departments!C417:C422,MATCH(Employees!G418,Departments!A417:A422,0))</f>
        <v>#N/A</v>
      </c>
    </row>
    <row r="419" spans="1:15" x14ac:dyDescent="0.35">
      <c r="A419" s="7" t="s">
        <v>1304</v>
      </c>
      <c r="B419" s="7" t="s">
        <v>80</v>
      </c>
      <c r="C419" s="7" t="s">
        <v>115</v>
      </c>
      <c r="D419" s="8" t="str">
        <f t="shared" si="6"/>
        <v>JANE SEN</v>
      </c>
      <c r="E419" s="7" t="s">
        <v>64</v>
      </c>
      <c r="F419" s="7">
        <v>33</v>
      </c>
      <c r="G419" s="7" t="s">
        <v>53</v>
      </c>
      <c r="H419" s="7" t="s">
        <v>70</v>
      </c>
      <c r="I419" s="7" t="s">
        <v>1305</v>
      </c>
      <c r="J419" s="7">
        <v>63416</v>
      </c>
      <c r="K419" s="7" t="s">
        <v>30</v>
      </c>
      <c r="L419" s="7" t="s">
        <v>1306</v>
      </c>
      <c r="M419" s="7" t="s">
        <v>73</v>
      </c>
      <c r="N419" s="10" t="e">
        <f>VLOOKUP(G419,Departments!A418:C423,3,0)</f>
        <v>#N/A</v>
      </c>
      <c r="O419" s="13" t="e">
        <f>INDEX(Departments!C418:C423,MATCH(Employees!G419,Departments!A418:A423,0))</f>
        <v>#N/A</v>
      </c>
    </row>
    <row r="420" spans="1:15" x14ac:dyDescent="0.35">
      <c r="A420" s="6" t="s">
        <v>1307</v>
      </c>
      <c r="B420" s="6" t="s">
        <v>126</v>
      </c>
      <c r="C420" s="6" t="s">
        <v>111</v>
      </c>
      <c r="D420" s="8" t="str">
        <f t="shared" si="6"/>
        <v>PRIYA KHAN</v>
      </c>
      <c r="E420" s="6" t="s">
        <v>57</v>
      </c>
      <c r="F420" s="6">
        <v>46</v>
      </c>
      <c r="G420" s="6" t="s">
        <v>51</v>
      </c>
      <c r="H420" s="6" t="s">
        <v>76</v>
      </c>
      <c r="I420" s="6" t="s">
        <v>1308</v>
      </c>
      <c r="J420" s="6">
        <v>48319</v>
      </c>
      <c r="K420" s="6" t="s">
        <v>37</v>
      </c>
      <c r="L420" s="6" t="s">
        <v>1309</v>
      </c>
      <c r="M420" s="6" t="s">
        <v>61</v>
      </c>
      <c r="N420" s="10" t="e">
        <f>VLOOKUP(G420,Departments!A419:C424,3,0)</f>
        <v>#N/A</v>
      </c>
      <c r="O420" s="13" t="e">
        <f>INDEX(Departments!C419:C424,MATCH(Employees!G420,Departments!A419:A424,0))</f>
        <v>#N/A</v>
      </c>
    </row>
    <row r="421" spans="1:15" x14ac:dyDescent="0.35">
      <c r="A421" s="7" t="s">
        <v>1310</v>
      </c>
      <c r="B421" s="7" t="s">
        <v>55</v>
      </c>
      <c r="C421" s="7" t="s">
        <v>162</v>
      </c>
      <c r="D421" s="8" t="str">
        <f t="shared" si="6"/>
        <v>AMIT DAS</v>
      </c>
      <c r="E421" s="7" t="s">
        <v>57</v>
      </c>
      <c r="F421" s="7">
        <v>36</v>
      </c>
      <c r="G421" s="7" t="s">
        <v>53</v>
      </c>
      <c r="H421" s="7" t="s">
        <v>58</v>
      </c>
      <c r="I421" s="7" t="s">
        <v>1311</v>
      </c>
      <c r="J421" s="7">
        <v>82168</v>
      </c>
      <c r="K421" s="7" t="s">
        <v>30</v>
      </c>
      <c r="L421" s="7" t="s">
        <v>1312</v>
      </c>
      <c r="M421" s="7" t="s">
        <v>61</v>
      </c>
      <c r="N421" s="10" t="e">
        <f>VLOOKUP(G421,Departments!A420:C425,3,0)</f>
        <v>#N/A</v>
      </c>
      <c r="O421" s="13" t="e">
        <f>INDEX(Departments!C420:C425,MATCH(Employees!G421,Departments!A420:A425,0))</f>
        <v>#N/A</v>
      </c>
    </row>
    <row r="422" spans="1:15" x14ac:dyDescent="0.35">
      <c r="A422" s="6" t="s">
        <v>1313</v>
      </c>
      <c r="B422" s="6" t="s">
        <v>104</v>
      </c>
      <c r="C422" s="6" t="s">
        <v>97</v>
      </c>
      <c r="D422" s="8" t="str">
        <f t="shared" si="6"/>
        <v>ANITA SINGH</v>
      </c>
      <c r="E422" s="6" t="s">
        <v>64</v>
      </c>
      <c r="F422" s="6">
        <v>32</v>
      </c>
      <c r="G422" s="6" t="s">
        <v>51</v>
      </c>
      <c r="H422" s="6" t="s">
        <v>76</v>
      </c>
      <c r="I422" s="6" t="s">
        <v>1314</v>
      </c>
      <c r="J422" s="6">
        <v>83994</v>
      </c>
      <c r="K422" s="6" t="s">
        <v>30</v>
      </c>
      <c r="L422" s="6" t="s">
        <v>1315</v>
      </c>
      <c r="M422" s="6" t="s">
        <v>73</v>
      </c>
      <c r="N422" s="10" t="e">
        <f>VLOOKUP(G422,Departments!A421:C426,3,0)</f>
        <v>#N/A</v>
      </c>
      <c r="O422" s="13" t="e">
        <f>INDEX(Departments!C421:C426,MATCH(Employees!G422,Departments!A421:A426,0))</f>
        <v>#N/A</v>
      </c>
    </row>
    <row r="423" spans="1:15" x14ac:dyDescent="0.35">
      <c r="A423" s="7" t="s">
        <v>1316</v>
      </c>
      <c r="B423" s="7" t="s">
        <v>69</v>
      </c>
      <c r="C423" s="7" t="s">
        <v>122</v>
      </c>
      <c r="D423" s="8" t="str">
        <f t="shared" si="6"/>
        <v>ROHIT PAUL</v>
      </c>
      <c r="E423" s="7" t="s">
        <v>57</v>
      </c>
      <c r="F423" s="7">
        <v>43</v>
      </c>
      <c r="G423" s="7" t="s">
        <v>51</v>
      </c>
      <c r="H423" s="7" t="s">
        <v>70</v>
      </c>
      <c r="I423" s="7" t="s">
        <v>1317</v>
      </c>
      <c r="J423" s="7">
        <v>45200</v>
      </c>
      <c r="K423" s="7" t="s">
        <v>30</v>
      </c>
      <c r="L423" s="7" t="s">
        <v>1318</v>
      </c>
      <c r="M423" s="7" t="s">
        <v>73</v>
      </c>
      <c r="N423" s="10" t="e">
        <f>VLOOKUP(G423,Departments!A422:C427,3,0)</f>
        <v>#N/A</v>
      </c>
      <c r="O423" s="13" t="e">
        <f>INDEX(Departments!C422:C427,MATCH(Employees!G423,Departments!A422:A427,0))</f>
        <v>#N/A</v>
      </c>
    </row>
    <row r="424" spans="1:15" x14ac:dyDescent="0.35">
      <c r="A424" s="6" t="s">
        <v>1319</v>
      </c>
      <c r="B424" s="6" t="s">
        <v>75</v>
      </c>
      <c r="C424" s="6" t="s">
        <v>97</v>
      </c>
      <c r="D424" s="8" t="str">
        <f t="shared" si="6"/>
        <v>DAVID SINGH</v>
      </c>
      <c r="E424" s="6" t="s">
        <v>64</v>
      </c>
      <c r="F424" s="6">
        <v>25</v>
      </c>
      <c r="G424" s="6" t="s">
        <v>52</v>
      </c>
      <c r="H424" s="6" t="s">
        <v>58</v>
      </c>
      <c r="I424" s="6" t="s">
        <v>1320</v>
      </c>
      <c r="J424" s="6">
        <v>84722</v>
      </c>
      <c r="K424" s="6" t="s">
        <v>28</v>
      </c>
      <c r="L424" s="6" t="s">
        <v>1321</v>
      </c>
      <c r="M424" s="6" t="s">
        <v>73</v>
      </c>
      <c r="N424" s="10" t="e">
        <f>VLOOKUP(G424,Departments!A423:C428,3,0)</f>
        <v>#N/A</v>
      </c>
      <c r="O424" s="13" t="e">
        <f>INDEX(Departments!C423:C428,MATCH(Employees!G424,Departments!A423:A428,0))</f>
        <v>#N/A</v>
      </c>
    </row>
    <row r="425" spans="1:15" x14ac:dyDescent="0.35">
      <c r="A425" s="7" t="s">
        <v>1322</v>
      </c>
      <c r="B425" s="7" t="s">
        <v>55</v>
      </c>
      <c r="C425" s="7" t="s">
        <v>97</v>
      </c>
      <c r="D425" s="8" t="str">
        <f t="shared" si="6"/>
        <v>AMIT SINGH</v>
      </c>
      <c r="E425" s="7" t="s">
        <v>57</v>
      </c>
      <c r="F425" s="7">
        <v>24</v>
      </c>
      <c r="G425" s="7" t="s">
        <v>52</v>
      </c>
      <c r="H425" s="7" t="s">
        <v>58</v>
      </c>
      <c r="I425" s="7" t="s">
        <v>1323</v>
      </c>
      <c r="J425" s="7">
        <v>57088</v>
      </c>
      <c r="K425" s="7" t="s">
        <v>30</v>
      </c>
      <c r="L425" s="7" t="s">
        <v>1324</v>
      </c>
      <c r="M425" s="7" t="s">
        <v>61</v>
      </c>
      <c r="N425" s="10" t="e">
        <f>VLOOKUP(G425,Departments!A424:C429,3,0)</f>
        <v>#N/A</v>
      </c>
      <c r="O425" s="13" t="e">
        <f>INDEX(Departments!C424:C429,MATCH(Employees!G425,Departments!A424:A429,0))</f>
        <v>#N/A</v>
      </c>
    </row>
    <row r="426" spans="1:15" x14ac:dyDescent="0.35">
      <c r="A426" s="6" t="s">
        <v>1325</v>
      </c>
      <c r="B426" s="6" t="s">
        <v>93</v>
      </c>
      <c r="C426" s="6" t="s">
        <v>97</v>
      </c>
      <c r="D426" s="8" t="str">
        <f t="shared" si="6"/>
        <v>JOHN SINGH</v>
      </c>
      <c r="E426" s="6" t="s">
        <v>64</v>
      </c>
      <c r="F426" s="6">
        <v>52</v>
      </c>
      <c r="G426" s="6" t="s">
        <v>50</v>
      </c>
      <c r="H426" s="6" t="s">
        <v>140</v>
      </c>
      <c r="I426" s="6" t="s">
        <v>1326</v>
      </c>
      <c r="J426" s="6">
        <v>106181</v>
      </c>
      <c r="K426" s="6" t="s">
        <v>18</v>
      </c>
      <c r="L426" s="6" t="s">
        <v>1327</v>
      </c>
      <c r="M426" s="6" t="s">
        <v>61</v>
      </c>
      <c r="N426" s="10" t="e">
        <f>VLOOKUP(G426,Departments!A425:C430,3,0)</f>
        <v>#N/A</v>
      </c>
      <c r="O426" s="13" t="e">
        <f>INDEX(Departments!C425:C430,MATCH(Employees!G426,Departments!A425:A430,0))</f>
        <v>#N/A</v>
      </c>
    </row>
    <row r="427" spans="1:15" x14ac:dyDescent="0.35">
      <c r="A427" s="7" t="s">
        <v>1328</v>
      </c>
      <c r="B427" s="7" t="s">
        <v>104</v>
      </c>
      <c r="C427" s="7" t="s">
        <v>122</v>
      </c>
      <c r="D427" s="8" t="str">
        <f t="shared" si="6"/>
        <v>ANITA PAUL</v>
      </c>
      <c r="E427" s="7" t="s">
        <v>57</v>
      </c>
      <c r="F427" s="7">
        <v>48</v>
      </c>
      <c r="G427" s="7" t="s">
        <v>51</v>
      </c>
      <c r="H427" s="7" t="s">
        <v>58</v>
      </c>
      <c r="I427" s="7" t="s">
        <v>1329</v>
      </c>
      <c r="J427" s="7">
        <v>117192</v>
      </c>
      <c r="K427" s="7" t="s">
        <v>13</v>
      </c>
      <c r="L427" s="7" t="s">
        <v>1330</v>
      </c>
      <c r="M427" s="7" t="s">
        <v>61</v>
      </c>
      <c r="N427" s="10" t="e">
        <f>VLOOKUP(G427,Departments!A426:C431,3,0)</f>
        <v>#N/A</v>
      </c>
      <c r="O427" s="13" t="e">
        <f>INDEX(Departments!C426:C431,MATCH(Employees!G427,Departments!A426:A431,0))</f>
        <v>#N/A</v>
      </c>
    </row>
    <row r="428" spans="1:15" x14ac:dyDescent="0.35">
      <c r="A428" s="6" t="s">
        <v>1331</v>
      </c>
      <c r="B428" s="6" t="s">
        <v>126</v>
      </c>
      <c r="C428" s="6" t="s">
        <v>56</v>
      </c>
      <c r="D428" s="8" t="str">
        <f t="shared" si="6"/>
        <v>PRIYA DUTTA</v>
      </c>
      <c r="E428" s="6" t="s">
        <v>57</v>
      </c>
      <c r="F428" s="6">
        <v>43</v>
      </c>
      <c r="G428" s="6" t="s">
        <v>51</v>
      </c>
      <c r="H428" s="6" t="s">
        <v>140</v>
      </c>
      <c r="I428" s="6" t="s">
        <v>1332</v>
      </c>
      <c r="J428" s="6">
        <v>114670</v>
      </c>
      <c r="K428" s="6" t="s">
        <v>13</v>
      </c>
      <c r="L428" s="6" t="s">
        <v>1333</v>
      </c>
      <c r="M428" s="6" t="s">
        <v>73</v>
      </c>
      <c r="N428" s="10" t="e">
        <f>VLOOKUP(G428,Departments!A427:C432,3,0)</f>
        <v>#N/A</v>
      </c>
      <c r="O428" s="13" t="e">
        <f>INDEX(Departments!C427:C432,MATCH(Employees!G428,Departments!A427:A432,0))</f>
        <v>#N/A</v>
      </c>
    </row>
    <row r="429" spans="1:15" x14ac:dyDescent="0.35">
      <c r="A429" s="7" t="s">
        <v>1334</v>
      </c>
      <c r="B429" s="7" t="s">
        <v>69</v>
      </c>
      <c r="C429" s="7" t="s">
        <v>97</v>
      </c>
      <c r="D429" s="8" t="str">
        <f t="shared" si="6"/>
        <v>ROHIT SINGH</v>
      </c>
      <c r="E429" s="7" t="s">
        <v>57</v>
      </c>
      <c r="F429" s="7">
        <v>36</v>
      </c>
      <c r="G429" s="7" t="s">
        <v>49</v>
      </c>
      <c r="H429" s="7" t="s">
        <v>76</v>
      </c>
      <c r="I429" s="7" t="s">
        <v>719</v>
      </c>
      <c r="J429" s="7">
        <v>116951</v>
      </c>
      <c r="K429" s="7" t="s">
        <v>37</v>
      </c>
      <c r="L429" s="7" t="s">
        <v>1335</v>
      </c>
      <c r="M429" s="7" t="s">
        <v>61</v>
      </c>
      <c r="N429" s="10" t="e">
        <f>VLOOKUP(G429,Departments!A428:C433,3,0)</f>
        <v>#N/A</v>
      </c>
      <c r="O429" s="13" t="e">
        <f>INDEX(Departments!C428:C433,MATCH(Employees!G429,Departments!A428:A433,0))</f>
        <v>#N/A</v>
      </c>
    </row>
    <row r="430" spans="1:15" x14ac:dyDescent="0.35">
      <c r="A430" s="6" t="s">
        <v>1336</v>
      </c>
      <c r="B430" s="6" t="s">
        <v>104</v>
      </c>
      <c r="C430" s="6" t="s">
        <v>115</v>
      </c>
      <c r="D430" s="8" t="str">
        <f t="shared" si="6"/>
        <v>ANITA SEN</v>
      </c>
      <c r="E430" s="6" t="s">
        <v>57</v>
      </c>
      <c r="F430" s="6">
        <v>43</v>
      </c>
      <c r="G430" s="6" t="s">
        <v>49</v>
      </c>
      <c r="H430" s="6" t="s">
        <v>65</v>
      </c>
      <c r="I430" s="6" t="s">
        <v>682</v>
      </c>
      <c r="J430" s="6">
        <v>86123</v>
      </c>
      <c r="K430" s="6" t="s">
        <v>18</v>
      </c>
      <c r="L430" s="6" t="s">
        <v>1337</v>
      </c>
      <c r="M430" s="6" t="s">
        <v>73</v>
      </c>
      <c r="N430" s="10" t="e">
        <f>VLOOKUP(G430,Departments!A429:C434,3,0)</f>
        <v>#N/A</v>
      </c>
      <c r="O430" s="13" t="e">
        <f>INDEX(Departments!C429:C434,MATCH(Employees!G430,Departments!A429:A434,0))</f>
        <v>#N/A</v>
      </c>
    </row>
    <row r="431" spans="1:15" x14ac:dyDescent="0.35">
      <c r="A431" s="7" t="s">
        <v>1338</v>
      </c>
      <c r="B431" s="7" t="s">
        <v>55</v>
      </c>
      <c r="C431" s="7" t="s">
        <v>122</v>
      </c>
      <c r="D431" s="8" t="str">
        <f t="shared" si="6"/>
        <v>AMIT PAUL</v>
      </c>
      <c r="E431" s="7" t="s">
        <v>57</v>
      </c>
      <c r="F431" s="7">
        <v>45</v>
      </c>
      <c r="G431" s="7" t="s">
        <v>50</v>
      </c>
      <c r="H431" s="7" t="s">
        <v>58</v>
      </c>
      <c r="I431" s="7" t="s">
        <v>1339</v>
      </c>
      <c r="J431" s="7">
        <v>68220</v>
      </c>
      <c r="K431" s="7" t="s">
        <v>37</v>
      </c>
      <c r="L431" s="7" t="s">
        <v>1340</v>
      </c>
      <c r="M431" s="7" t="s">
        <v>61</v>
      </c>
      <c r="N431" s="10" t="e">
        <f>VLOOKUP(G431,Departments!A430:C435,3,0)</f>
        <v>#N/A</v>
      </c>
      <c r="O431" s="13" t="e">
        <f>INDEX(Departments!C430:C435,MATCH(Employees!G431,Departments!A430:A435,0))</f>
        <v>#N/A</v>
      </c>
    </row>
    <row r="432" spans="1:15" x14ac:dyDescent="0.35">
      <c r="A432" s="6" t="s">
        <v>1341</v>
      </c>
      <c r="B432" s="6" t="s">
        <v>85</v>
      </c>
      <c r="C432" s="6" t="s">
        <v>162</v>
      </c>
      <c r="D432" s="8" t="str">
        <f t="shared" si="6"/>
        <v>RAHUL DAS</v>
      </c>
      <c r="E432" s="6" t="s">
        <v>57</v>
      </c>
      <c r="F432" s="6">
        <v>60</v>
      </c>
      <c r="G432" s="6" t="s">
        <v>53</v>
      </c>
      <c r="H432" s="6" t="s">
        <v>70</v>
      </c>
      <c r="I432" s="6" t="s">
        <v>1342</v>
      </c>
      <c r="J432" s="6">
        <v>115147</v>
      </c>
      <c r="K432" s="6" t="s">
        <v>18</v>
      </c>
      <c r="L432" s="6" t="s">
        <v>1343</v>
      </c>
      <c r="M432" s="6" t="s">
        <v>73</v>
      </c>
      <c r="N432" s="10" t="e">
        <f>VLOOKUP(G432,Departments!A431:C436,3,0)</f>
        <v>#N/A</v>
      </c>
      <c r="O432" s="13" t="e">
        <f>INDEX(Departments!C431:C436,MATCH(Employees!G432,Departments!A431:A436,0))</f>
        <v>#N/A</v>
      </c>
    </row>
    <row r="433" spans="1:15" x14ac:dyDescent="0.35">
      <c r="A433" s="7" t="s">
        <v>1344</v>
      </c>
      <c r="B433" s="7" t="s">
        <v>126</v>
      </c>
      <c r="C433" s="7" t="s">
        <v>81</v>
      </c>
      <c r="D433" s="8" t="str">
        <f t="shared" si="6"/>
        <v>PRIYA GHOSH</v>
      </c>
      <c r="E433" s="7" t="s">
        <v>57</v>
      </c>
      <c r="F433" s="7">
        <v>54</v>
      </c>
      <c r="G433" s="7" t="s">
        <v>50</v>
      </c>
      <c r="H433" s="7" t="s">
        <v>65</v>
      </c>
      <c r="I433" s="7" t="s">
        <v>1345</v>
      </c>
      <c r="J433" s="7">
        <v>68028</v>
      </c>
      <c r="K433" s="7" t="s">
        <v>30</v>
      </c>
      <c r="L433" s="7" t="s">
        <v>1346</v>
      </c>
      <c r="M433" s="7" t="s">
        <v>73</v>
      </c>
      <c r="N433" s="10" t="e">
        <f>VLOOKUP(G433,Departments!A432:C437,3,0)</f>
        <v>#N/A</v>
      </c>
      <c r="O433" s="13" t="e">
        <f>INDEX(Departments!C432:C437,MATCH(Employees!G433,Departments!A432:A437,0))</f>
        <v>#N/A</v>
      </c>
    </row>
    <row r="434" spans="1:15" x14ac:dyDescent="0.35">
      <c r="A434" s="6" t="s">
        <v>1347</v>
      </c>
      <c r="B434" s="6" t="s">
        <v>75</v>
      </c>
      <c r="C434" s="6" t="s">
        <v>81</v>
      </c>
      <c r="D434" s="8" t="str">
        <f t="shared" si="6"/>
        <v>DAVID GHOSH</v>
      </c>
      <c r="E434" s="6" t="s">
        <v>64</v>
      </c>
      <c r="F434" s="6">
        <v>52</v>
      </c>
      <c r="G434" s="6" t="s">
        <v>53</v>
      </c>
      <c r="H434" s="6" t="s">
        <v>140</v>
      </c>
      <c r="I434" s="6" t="s">
        <v>1348</v>
      </c>
      <c r="J434" s="6">
        <v>46732</v>
      </c>
      <c r="K434" s="6" t="s">
        <v>28</v>
      </c>
      <c r="L434" s="6" t="s">
        <v>1349</v>
      </c>
      <c r="M434" s="6" t="s">
        <v>73</v>
      </c>
      <c r="N434" s="10" t="e">
        <f>VLOOKUP(G434,Departments!A433:C438,3,0)</f>
        <v>#N/A</v>
      </c>
      <c r="O434" s="13" t="e">
        <f>INDEX(Departments!C433:C438,MATCH(Employees!G434,Departments!A433:A438,0))</f>
        <v>#N/A</v>
      </c>
    </row>
    <row r="435" spans="1:15" x14ac:dyDescent="0.35">
      <c r="A435" s="7" t="s">
        <v>1350</v>
      </c>
      <c r="B435" s="7" t="s">
        <v>80</v>
      </c>
      <c r="C435" s="7" t="s">
        <v>162</v>
      </c>
      <c r="D435" s="8" t="str">
        <f t="shared" si="6"/>
        <v>JANE DAS</v>
      </c>
      <c r="E435" s="7" t="s">
        <v>64</v>
      </c>
      <c r="F435" s="7">
        <v>53</v>
      </c>
      <c r="G435" s="7" t="s">
        <v>49</v>
      </c>
      <c r="H435" s="7" t="s">
        <v>140</v>
      </c>
      <c r="I435" s="7" t="s">
        <v>1351</v>
      </c>
      <c r="J435" s="7">
        <v>37701</v>
      </c>
      <c r="K435" s="7" t="s">
        <v>18</v>
      </c>
      <c r="L435" s="7" t="s">
        <v>1352</v>
      </c>
      <c r="M435" s="7" t="s">
        <v>73</v>
      </c>
      <c r="N435" s="10" t="e">
        <f>VLOOKUP(G435,Departments!A434:C439,3,0)</f>
        <v>#N/A</v>
      </c>
      <c r="O435" s="13" t="e">
        <f>INDEX(Departments!C434:C439,MATCH(Employees!G435,Departments!A434:A439,0))</f>
        <v>#N/A</v>
      </c>
    </row>
    <row r="436" spans="1:15" x14ac:dyDescent="0.35">
      <c r="A436" s="6" t="s">
        <v>1353</v>
      </c>
      <c r="B436" s="6" t="s">
        <v>85</v>
      </c>
      <c r="C436" s="6" t="s">
        <v>81</v>
      </c>
      <c r="D436" s="8" t="str">
        <f t="shared" si="6"/>
        <v>RAHUL GHOSH</v>
      </c>
      <c r="E436" s="6" t="s">
        <v>57</v>
      </c>
      <c r="F436" s="6">
        <v>51</v>
      </c>
      <c r="G436" s="6" t="s">
        <v>49</v>
      </c>
      <c r="H436" s="6" t="s">
        <v>65</v>
      </c>
      <c r="I436" s="6" t="s">
        <v>854</v>
      </c>
      <c r="J436" s="6">
        <v>103930</v>
      </c>
      <c r="K436" s="6" t="s">
        <v>13</v>
      </c>
      <c r="L436" s="6" t="s">
        <v>1354</v>
      </c>
      <c r="M436" s="6" t="s">
        <v>73</v>
      </c>
      <c r="N436" s="10" t="e">
        <f>VLOOKUP(G436,Departments!A435:C440,3,0)</f>
        <v>#N/A</v>
      </c>
      <c r="O436" s="13" t="e">
        <f>INDEX(Departments!C435:C440,MATCH(Employees!G436,Departments!A435:A440,0))</f>
        <v>#N/A</v>
      </c>
    </row>
    <row r="437" spans="1:15" x14ac:dyDescent="0.35">
      <c r="A437" s="7" t="s">
        <v>1355</v>
      </c>
      <c r="B437" s="7" t="s">
        <v>175</v>
      </c>
      <c r="C437" s="7" t="s">
        <v>122</v>
      </c>
      <c r="D437" s="8" t="str">
        <f t="shared" si="6"/>
        <v>NEHA PAUL</v>
      </c>
      <c r="E437" s="7" t="s">
        <v>57</v>
      </c>
      <c r="F437" s="7">
        <v>41</v>
      </c>
      <c r="G437" s="7" t="s">
        <v>51</v>
      </c>
      <c r="H437" s="7" t="s">
        <v>58</v>
      </c>
      <c r="I437" s="7" t="s">
        <v>1073</v>
      </c>
      <c r="J437" s="7">
        <v>83188</v>
      </c>
      <c r="K437" s="7" t="s">
        <v>37</v>
      </c>
      <c r="L437" s="7" t="s">
        <v>1356</v>
      </c>
      <c r="M437" s="7" t="s">
        <v>61</v>
      </c>
      <c r="N437" s="10" t="e">
        <f>VLOOKUP(G437,Departments!A436:C441,3,0)</f>
        <v>#N/A</v>
      </c>
      <c r="O437" s="13" t="e">
        <f>INDEX(Departments!C436:C441,MATCH(Employees!G437,Departments!A436:A441,0))</f>
        <v>#N/A</v>
      </c>
    </row>
    <row r="438" spans="1:15" x14ac:dyDescent="0.35">
      <c r="A438" s="6" t="s">
        <v>1357</v>
      </c>
      <c r="B438" s="6" t="s">
        <v>55</v>
      </c>
      <c r="C438" s="6" t="s">
        <v>127</v>
      </c>
      <c r="D438" s="8" t="str">
        <f t="shared" si="6"/>
        <v>AMIT SMITH</v>
      </c>
      <c r="E438" s="6" t="s">
        <v>64</v>
      </c>
      <c r="F438" s="6">
        <v>23</v>
      </c>
      <c r="G438" s="6" t="s">
        <v>53</v>
      </c>
      <c r="H438" s="6" t="s">
        <v>65</v>
      </c>
      <c r="I438" s="6" t="s">
        <v>1358</v>
      </c>
      <c r="J438" s="6">
        <v>50616</v>
      </c>
      <c r="K438" s="6" t="s">
        <v>13</v>
      </c>
      <c r="L438" s="6" t="s">
        <v>1359</v>
      </c>
      <c r="M438" s="6" t="s">
        <v>73</v>
      </c>
      <c r="N438" s="10" t="e">
        <f>VLOOKUP(G438,Departments!A437:C442,3,0)</f>
        <v>#N/A</v>
      </c>
      <c r="O438" s="13" t="e">
        <f>INDEX(Departments!C437:C442,MATCH(Employees!G438,Departments!A437:A442,0))</f>
        <v>#N/A</v>
      </c>
    </row>
    <row r="439" spans="1:15" x14ac:dyDescent="0.35">
      <c r="A439" s="7" t="s">
        <v>1360</v>
      </c>
      <c r="B439" s="7" t="s">
        <v>126</v>
      </c>
      <c r="C439" s="7" t="s">
        <v>162</v>
      </c>
      <c r="D439" s="8" t="str">
        <f t="shared" si="6"/>
        <v>PRIYA DAS</v>
      </c>
      <c r="E439" s="7" t="s">
        <v>64</v>
      </c>
      <c r="F439" s="7">
        <v>52</v>
      </c>
      <c r="G439" s="7" t="s">
        <v>53</v>
      </c>
      <c r="H439" s="7" t="s">
        <v>58</v>
      </c>
      <c r="I439" s="7" t="s">
        <v>1361</v>
      </c>
      <c r="J439" s="7">
        <v>80964</v>
      </c>
      <c r="K439" s="7" t="s">
        <v>13</v>
      </c>
      <c r="L439" s="7" t="s">
        <v>1362</v>
      </c>
      <c r="M439" s="7" t="s">
        <v>61</v>
      </c>
      <c r="N439" s="10" t="e">
        <f>VLOOKUP(G439,Departments!A438:C443,3,0)</f>
        <v>#N/A</v>
      </c>
      <c r="O439" s="13" t="e">
        <f>INDEX(Departments!C438:C443,MATCH(Employees!G439,Departments!A438:A443,0))</f>
        <v>#N/A</v>
      </c>
    </row>
    <row r="440" spans="1:15" x14ac:dyDescent="0.35">
      <c r="A440" s="6" t="s">
        <v>1363</v>
      </c>
      <c r="B440" s="6" t="s">
        <v>75</v>
      </c>
      <c r="C440" s="6" t="s">
        <v>115</v>
      </c>
      <c r="D440" s="8" t="str">
        <f t="shared" si="6"/>
        <v>DAVID SEN</v>
      </c>
      <c r="E440" s="6" t="s">
        <v>64</v>
      </c>
      <c r="F440" s="6">
        <v>28</v>
      </c>
      <c r="G440" s="6" t="s">
        <v>53</v>
      </c>
      <c r="H440" s="6" t="s">
        <v>65</v>
      </c>
      <c r="I440" s="6" t="s">
        <v>1364</v>
      </c>
      <c r="J440" s="6">
        <v>38806</v>
      </c>
      <c r="K440" s="6" t="s">
        <v>13</v>
      </c>
      <c r="L440" s="6" t="s">
        <v>1365</v>
      </c>
      <c r="M440" s="6" t="s">
        <v>73</v>
      </c>
      <c r="N440" s="10" t="e">
        <f>VLOOKUP(G440,Departments!A439:C444,3,0)</f>
        <v>#N/A</v>
      </c>
      <c r="O440" s="13" t="e">
        <f>INDEX(Departments!C439:C444,MATCH(Employees!G440,Departments!A439:A444,0))</f>
        <v>#N/A</v>
      </c>
    </row>
    <row r="441" spans="1:15" x14ac:dyDescent="0.35">
      <c r="A441" s="7" t="s">
        <v>1366</v>
      </c>
      <c r="B441" s="7" t="s">
        <v>126</v>
      </c>
      <c r="C441" s="7" t="s">
        <v>115</v>
      </c>
      <c r="D441" s="8" t="str">
        <f t="shared" si="6"/>
        <v>PRIYA SEN</v>
      </c>
      <c r="E441" s="7" t="s">
        <v>57</v>
      </c>
      <c r="F441" s="7">
        <v>29</v>
      </c>
      <c r="G441" s="7" t="s">
        <v>49</v>
      </c>
      <c r="H441" s="7" t="s">
        <v>70</v>
      </c>
      <c r="I441" s="7" t="s">
        <v>851</v>
      </c>
      <c r="J441" s="7">
        <v>71247</v>
      </c>
      <c r="K441" s="7" t="s">
        <v>13</v>
      </c>
      <c r="L441" s="7" t="s">
        <v>1367</v>
      </c>
      <c r="M441" s="7" t="s">
        <v>73</v>
      </c>
      <c r="N441" s="10" t="e">
        <f>VLOOKUP(G441,Departments!A440:C445,3,0)</f>
        <v>#N/A</v>
      </c>
      <c r="O441" s="13" t="e">
        <f>INDEX(Departments!C440:C445,MATCH(Employees!G441,Departments!A440:A445,0))</f>
        <v>#N/A</v>
      </c>
    </row>
    <row r="442" spans="1:15" x14ac:dyDescent="0.35">
      <c r="A442" s="6" t="s">
        <v>1368</v>
      </c>
      <c r="B442" s="6" t="s">
        <v>93</v>
      </c>
      <c r="C442" s="6" t="s">
        <v>197</v>
      </c>
      <c r="D442" s="8" t="str">
        <f t="shared" si="6"/>
        <v>JOHN BROWN</v>
      </c>
      <c r="E442" s="6" t="s">
        <v>57</v>
      </c>
      <c r="F442" s="6">
        <v>29</v>
      </c>
      <c r="G442" s="6" t="s">
        <v>53</v>
      </c>
      <c r="H442" s="6" t="s">
        <v>76</v>
      </c>
      <c r="I442" s="6" t="s">
        <v>1369</v>
      </c>
      <c r="J442" s="6">
        <v>109197</v>
      </c>
      <c r="K442" s="6" t="s">
        <v>37</v>
      </c>
      <c r="L442" s="6" t="s">
        <v>1370</v>
      </c>
      <c r="M442" s="6" t="s">
        <v>73</v>
      </c>
      <c r="N442" s="10" t="e">
        <f>VLOOKUP(G442,Departments!A441:C446,3,0)</f>
        <v>#N/A</v>
      </c>
      <c r="O442" s="13" t="e">
        <f>INDEX(Departments!C441:C446,MATCH(Employees!G442,Departments!A441:A446,0))</f>
        <v>#N/A</v>
      </c>
    </row>
    <row r="443" spans="1:15" x14ac:dyDescent="0.35">
      <c r="A443" s="7" t="s">
        <v>1371</v>
      </c>
      <c r="B443" s="7" t="s">
        <v>80</v>
      </c>
      <c r="C443" s="7" t="s">
        <v>97</v>
      </c>
      <c r="D443" s="8" t="str">
        <f t="shared" si="6"/>
        <v>JANE SINGH</v>
      </c>
      <c r="E443" s="7" t="s">
        <v>64</v>
      </c>
      <c r="F443" s="7">
        <v>47</v>
      </c>
      <c r="G443" s="7" t="s">
        <v>52</v>
      </c>
      <c r="H443" s="7" t="s">
        <v>76</v>
      </c>
      <c r="I443" s="7" t="s">
        <v>1372</v>
      </c>
      <c r="J443" s="7">
        <v>77368</v>
      </c>
      <c r="K443" s="7" t="s">
        <v>30</v>
      </c>
      <c r="L443" s="7" t="s">
        <v>1373</v>
      </c>
      <c r="M443" s="7" t="s">
        <v>61</v>
      </c>
      <c r="N443" s="10" t="e">
        <f>VLOOKUP(G443,Departments!A442:C447,3,0)</f>
        <v>#N/A</v>
      </c>
      <c r="O443" s="13" t="e">
        <f>INDEX(Departments!C442:C447,MATCH(Employees!G443,Departments!A442:A447,0))</f>
        <v>#N/A</v>
      </c>
    </row>
    <row r="444" spans="1:15" x14ac:dyDescent="0.35">
      <c r="A444" s="6" t="s">
        <v>1374</v>
      </c>
      <c r="B444" s="6" t="s">
        <v>104</v>
      </c>
      <c r="C444" s="6" t="s">
        <v>197</v>
      </c>
      <c r="D444" s="8" t="str">
        <f t="shared" si="6"/>
        <v>ANITA BROWN</v>
      </c>
      <c r="E444" s="6" t="s">
        <v>64</v>
      </c>
      <c r="F444" s="6">
        <v>41</v>
      </c>
      <c r="G444" s="6" t="s">
        <v>49</v>
      </c>
      <c r="H444" s="6" t="s">
        <v>70</v>
      </c>
      <c r="I444" s="6" t="s">
        <v>1375</v>
      </c>
      <c r="J444" s="6">
        <v>62102</v>
      </c>
      <c r="K444" s="6" t="s">
        <v>37</v>
      </c>
      <c r="L444" s="6" t="s">
        <v>1376</v>
      </c>
      <c r="M444" s="6" t="s">
        <v>73</v>
      </c>
      <c r="N444" s="10" t="e">
        <f>VLOOKUP(G444,Departments!A443:C448,3,0)</f>
        <v>#N/A</v>
      </c>
      <c r="O444" s="13" t="e">
        <f>INDEX(Departments!C443:C448,MATCH(Employees!G444,Departments!A443:A448,0))</f>
        <v>#N/A</v>
      </c>
    </row>
    <row r="445" spans="1:15" x14ac:dyDescent="0.35">
      <c r="A445" s="7" t="s">
        <v>1377</v>
      </c>
      <c r="B445" s="7" t="s">
        <v>80</v>
      </c>
      <c r="C445" s="7" t="s">
        <v>56</v>
      </c>
      <c r="D445" s="8" t="str">
        <f t="shared" si="6"/>
        <v>JANE DUTTA</v>
      </c>
      <c r="E445" s="7" t="s">
        <v>64</v>
      </c>
      <c r="F445" s="7">
        <v>40</v>
      </c>
      <c r="G445" s="7" t="s">
        <v>49</v>
      </c>
      <c r="H445" s="7" t="s">
        <v>76</v>
      </c>
      <c r="I445" s="7" t="s">
        <v>1378</v>
      </c>
      <c r="J445" s="7">
        <v>66499</v>
      </c>
      <c r="K445" s="7" t="s">
        <v>37</v>
      </c>
      <c r="L445" s="7" t="s">
        <v>1379</v>
      </c>
      <c r="M445" s="7" t="s">
        <v>61</v>
      </c>
      <c r="N445" s="10" t="e">
        <f>VLOOKUP(G445,Departments!A444:C449,3,0)</f>
        <v>#N/A</v>
      </c>
      <c r="O445" s="13" t="e">
        <f>INDEX(Departments!C444:C449,MATCH(Employees!G445,Departments!A444:A449,0))</f>
        <v>#N/A</v>
      </c>
    </row>
    <row r="446" spans="1:15" x14ac:dyDescent="0.35">
      <c r="A446" s="6" t="s">
        <v>1380</v>
      </c>
      <c r="B446" s="6" t="s">
        <v>55</v>
      </c>
      <c r="C446" s="6" t="s">
        <v>63</v>
      </c>
      <c r="D446" s="8" t="str">
        <f t="shared" si="6"/>
        <v>AMIT ROY</v>
      </c>
      <c r="E446" s="6" t="s">
        <v>64</v>
      </c>
      <c r="F446" s="6">
        <v>47</v>
      </c>
      <c r="G446" s="6" t="s">
        <v>52</v>
      </c>
      <c r="H446" s="6" t="s">
        <v>140</v>
      </c>
      <c r="I446" s="6" t="s">
        <v>1381</v>
      </c>
      <c r="J446" s="6">
        <v>114326</v>
      </c>
      <c r="K446" s="6" t="s">
        <v>18</v>
      </c>
      <c r="L446" s="6" t="s">
        <v>1382</v>
      </c>
      <c r="M446" s="6" t="s">
        <v>73</v>
      </c>
      <c r="N446" s="10" t="e">
        <f>VLOOKUP(G446,Departments!A445:C450,3,0)</f>
        <v>#N/A</v>
      </c>
      <c r="O446" s="13" t="e">
        <f>INDEX(Departments!C445:C450,MATCH(Employees!G446,Departments!A445:A450,0))</f>
        <v>#N/A</v>
      </c>
    </row>
    <row r="447" spans="1:15" x14ac:dyDescent="0.35">
      <c r="A447" s="7" t="s">
        <v>1383</v>
      </c>
      <c r="B447" s="7" t="s">
        <v>89</v>
      </c>
      <c r="C447" s="7" t="s">
        <v>111</v>
      </c>
      <c r="D447" s="8" t="str">
        <f t="shared" si="6"/>
        <v>SARA KHAN</v>
      </c>
      <c r="E447" s="7" t="s">
        <v>57</v>
      </c>
      <c r="F447" s="7">
        <v>49</v>
      </c>
      <c r="G447" s="7" t="s">
        <v>51</v>
      </c>
      <c r="H447" s="7" t="s">
        <v>70</v>
      </c>
      <c r="I447" s="7" t="s">
        <v>1384</v>
      </c>
      <c r="J447" s="7">
        <v>98144</v>
      </c>
      <c r="K447" s="7" t="s">
        <v>28</v>
      </c>
      <c r="L447" s="7" t="s">
        <v>1385</v>
      </c>
      <c r="M447" s="7" t="s">
        <v>73</v>
      </c>
      <c r="N447" s="10" t="e">
        <f>VLOOKUP(G447,Departments!A446:C451,3,0)</f>
        <v>#N/A</v>
      </c>
      <c r="O447" s="13" t="e">
        <f>INDEX(Departments!C446:C451,MATCH(Employees!G447,Departments!A446:A451,0))</f>
        <v>#N/A</v>
      </c>
    </row>
    <row r="448" spans="1:15" x14ac:dyDescent="0.35">
      <c r="A448" s="6" t="s">
        <v>1386</v>
      </c>
      <c r="B448" s="6" t="s">
        <v>175</v>
      </c>
      <c r="C448" s="6" t="s">
        <v>127</v>
      </c>
      <c r="D448" s="8" t="str">
        <f t="shared" si="6"/>
        <v>NEHA SMITH</v>
      </c>
      <c r="E448" s="6" t="s">
        <v>57</v>
      </c>
      <c r="F448" s="6">
        <v>50</v>
      </c>
      <c r="G448" s="6" t="s">
        <v>50</v>
      </c>
      <c r="H448" s="6" t="s">
        <v>76</v>
      </c>
      <c r="I448" s="6" t="s">
        <v>1387</v>
      </c>
      <c r="J448" s="6">
        <v>61804</v>
      </c>
      <c r="K448" s="6" t="s">
        <v>13</v>
      </c>
      <c r="L448" s="6" t="s">
        <v>1388</v>
      </c>
      <c r="M448" s="6" t="s">
        <v>61</v>
      </c>
      <c r="N448" s="10" t="e">
        <f>VLOOKUP(G448,Departments!A447:C452,3,0)</f>
        <v>#N/A</v>
      </c>
      <c r="O448" s="13" t="e">
        <f>INDEX(Departments!C447:C452,MATCH(Employees!G448,Departments!A447:A452,0))</f>
        <v>#N/A</v>
      </c>
    </row>
    <row r="449" spans="1:15" x14ac:dyDescent="0.35">
      <c r="A449" s="7" t="s">
        <v>1389</v>
      </c>
      <c r="B449" s="7" t="s">
        <v>126</v>
      </c>
      <c r="C449" s="7" t="s">
        <v>162</v>
      </c>
      <c r="D449" s="8" t="str">
        <f t="shared" si="6"/>
        <v>PRIYA DAS</v>
      </c>
      <c r="E449" s="7" t="s">
        <v>57</v>
      </c>
      <c r="F449" s="7">
        <v>24</v>
      </c>
      <c r="G449" s="7" t="s">
        <v>49</v>
      </c>
      <c r="H449" s="7" t="s">
        <v>70</v>
      </c>
      <c r="I449" s="7" t="s">
        <v>1390</v>
      </c>
      <c r="J449" s="7">
        <v>42829</v>
      </c>
      <c r="K449" s="7" t="s">
        <v>37</v>
      </c>
      <c r="L449" s="7" t="s">
        <v>1391</v>
      </c>
      <c r="M449" s="7" t="s">
        <v>61</v>
      </c>
      <c r="N449" s="10" t="e">
        <f>VLOOKUP(G449,Departments!A448:C453,3,0)</f>
        <v>#N/A</v>
      </c>
      <c r="O449" s="13" t="e">
        <f>INDEX(Departments!C448:C453,MATCH(Employees!G449,Departments!A448:A453,0))</f>
        <v>#N/A</v>
      </c>
    </row>
    <row r="450" spans="1:15" x14ac:dyDescent="0.35">
      <c r="A450" s="6" t="s">
        <v>1392</v>
      </c>
      <c r="B450" s="6" t="s">
        <v>55</v>
      </c>
      <c r="C450" s="6" t="s">
        <v>81</v>
      </c>
      <c r="D450" s="8" t="str">
        <f t="shared" si="6"/>
        <v>AMIT GHOSH</v>
      </c>
      <c r="E450" s="6" t="s">
        <v>64</v>
      </c>
      <c r="F450" s="6">
        <v>39</v>
      </c>
      <c r="G450" s="6" t="s">
        <v>50</v>
      </c>
      <c r="H450" s="6" t="s">
        <v>140</v>
      </c>
      <c r="I450" s="6" t="s">
        <v>1393</v>
      </c>
      <c r="J450" s="6">
        <v>55874</v>
      </c>
      <c r="K450" s="6" t="s">
        <v>13</v>
      </c>
      <c r="L450" s="6" t="s">
        <v>1394</v>
      </c>
      <c r="M450" s="6" t="s">
        <v>73</v>
      </c>
      <c r="N450" s="10" t="e">
        <f>VLOOKUP(G450,Departments!A449:C454,3,0)</f>
        <v>#N/A</v>
      </c>
      <c r="O450" s="13" t="e">
        <f>INDEX(Departments!C449:C454,MATCH(Employees!G450,Departments!A449:A454,0))</f>
        <v>#N/A</v>
      </c>
    </row>
    <row r="451" spans="1:15" x14ac:dyDescent="0.35">
      <c r="A451" s="7" t="s">
        <v>1395</v>
      </c>
      <c r="B451" s="7" t="s">
        <v>85</v>
      </c>
      <c r="C451" s="7" t="s">
        <v>111</v>
      </c>
      <c r="D451" s="8" t="str">
        <f t="shared" ref="D451:D501" si="7">UPPER(_xlfn.CONCAT(B451," ",C451))</f>
        <v>RAHUL KHAN</v>
      </c>
      <c r="E451" s="7" t="s">
        <v>57</v>
      </c>
      <c r="F451" s="7">
        <v>48</v>
      </c>
      <c r="G451" s="7" t="s">
        <v>52</v>
      </c>
      <c r="H451" s="7" t="s">
        <v>140</v>
      </c>
      <c r="I451" s="7" t="s">
        <v>1396</v>
      </c>
      <c r="J451" s="7">
        <v>110269</v>
      </c>
      <c r="K451" s="7" t="s">
        <v>28</v>
      </c>
      <c r="L451" s="7" t="s">
        <v>1397</v>
      </c>
      <c r="M451" s="7" t="s">
        <v>73</v>
      </c>
      <c r="N451" s="10" t="e">
        <f>VLOOKUP(G451,Departments!A450:C455,3,0)</f>
        <v>#N/A</v>
      </c>
      <c r="O451" s="13" t="e">
        <f>INDEX(Departments!C450:C455,MATCH(Employees!G451,Departments!A450:A455,0))</f>
        <v>#N/A</v>
      </c>
    </row>
    <row r="452" spans="1:15" x14ac:dyDescent="0.35">
      <c r="A452" s="6" t="s">
        <v>1398</v>
      </c>
      <c r="B452" s="6" t="s">
        <v>104</v>
      </c>
      <c r="C452" s="6" t="s">
        <v>197</v>
      </c>
      <c r="D452" s="8" t="str">
        <f t="shared" si="7"/>
        <v>ANITA BROWN</v>
      </c>
      <c r="E452" s="6" t="s">
        <v>57</v>
      </c>
      <c r="F452" s="6">
        <v>49</v>
      </c>
      <c r="G452" s="6" t="s">
        <v>50</v>
      </c>
      <c r="H452" s="6" t="s">
        <v>58</v>
      </c>
      <c r="I452" s="6" t="s">
        <v>1399</v>
      </c>
      <c r="J452" s="6">
        <v>97118</v>
      </c>
      <c r="K452" s="6" t="s">
        <v>28</v>
      </c>
      <c r="L452" s="6" t="s">
        <v>1400</v>
      </c>
      <c r="M452" s="6" t="s">
        <v>73</v>
      </c>
      <c r="N452" s="10" t="e">
        <f>VLOOKUP(G452,Departments!A451:C456,3,0)</f>
        <v>#N/A</v>
      </c>
      <c r="O452" s="13" t="e">
        <f>INDEX(Departments!C451:C456,MATCH(Employees!G452,Departments!A451:A456,0))</f>
        <v>#N/A</v>
      </c>
    </row>
    <row r="453" spans="1:15" x14ac:dyDescent="0.35">
      <c r="A453" s="7" t="s">
        <v>1401</v>
      </c>
      <c r="B453" s="7" t="s">
        <v>85</v>
      </c>
      <c r="C453" s="7" t="s">
        <v>63</v>
      </c>
      <c r="D453" s="8" t="str">
        <f t="shared" si="7"/>
        <v>RAHUL ROY</v>
      </c>
      <c r="E453" s="7" t="s">
        <v>57</v>
      </c>
      <c r="F453" s="7">
        <v>25</v>
      </c>
      <c r="G453" s="7" t="s">
        <v>50</v>
      </c>
      <c r="H453" s="7" t="s">
        <v>140</v>
      </c>
      <c r="I453" s="7" t="s">
        <v>1402</v>
      </c>
      <c r="J453" s="7">
        <v>73245</v>
      </c>
      <c r="K453" s="7" t="s">
        <v>18</v>
      </c>
      <c r="L453" s="7" t="s">
        <v>1403</v>
      </c>
      <c r="M453" s="7" t="s">
        <v>73</v>
      </c>
      <c r="N453" s="10" t="e">
        <f>VLOOKUP(G453,Departments!A452:C457,3,0)</f>
        <v>#N/A</v>
      </c>
      <c r="O453" s="13" t="e">
        <f>INDEX(Departments!C452:C457,MATCH(Employees!G453,Departments!A452:A457,0))</f>
        <v>#N/A</v>
      </c>
    </row>
    <row r="454" spans="1:15" x14ac:dyDescent="0.35">
      <c r="A454" s="6" t="s">
        <v>1404</v>
      </c>
      <c r="B454" s="6" t="s">
        <v>75</v>
      </c>
      <c r="C454" s="6" t="s">
        <v>162</v>
      </c>
      <c r="D454" s="8" t="str">
        <f t="shared" si="7"/>
        <v>DAVID DAS</v>
      </c>
      <c r="E454" s="6" t="s">
        <v>57</v>
      </c>
      <c r="F454" s="6">
        <v>53</v>
      </c>
      <c r="G454" s="6" t="s">
        <v>50</v>
      </c>
      <c r="H454" s="6" t="s">
        <v>140</v>
      </c>
      <c r="I454" s="6" t="s">
        <v>1405</v>
      </c>
      <c r="J454" s="6">
        <v>35589</v>
      </c>
      <c r="K454" s="6" t="s">
        <v>13</v>
      </c>
      <c r="L454" s="6" t="s">
        <v>1406</v>
      </c>
      <c r="M454" s="6" t="s">
        <v>73</v>
      </c>
      <c r="N454" s="10" t="e">
        <f>VLOOKUP(G454,Departments!A453:C458,3,0)</f>
        <v>#N/A</v>
      </c>
      <c r="O454" s="13" t="e">
        <f>INDEX(Departments!C453:C458,MATCH(Employees!G454,Departments!A453:A458,0))</f>
        <v>#N/A</v>
      </c>
    </row>
    <row r="455" spans="1:15" x14ac:dyDescent="0.35">
      <c r="A455" s="7" t="s">
        <v>1407</v>
      </c>
      <c r="B455" s="7" t="s">
        <v>69</v>
      </c>
      <c r="C455" s="7" t="s">
        <v>122</v>
      </c>
      <c r="D455" s="8" t="str">
        <f t="shared" si="7"/>
        <v>ROHIT PAUL</v>
      </c>
      <c r="E455" s="7" t="s">
        <v>64</v>
      </c>
      <c r="F455" s="7">
        <v>35</v>
      </c>
      <c r="G455" s="7" t="s">
        <v>53</v>
      </c>
      <c r="H455" s="7" t="s">
        <v>76</v>
      </c>
      <c r="I455" s="7" t="s">
        <v>1408</v>
      </c>
      <c r="J455" s="7">
        <v>79751</v>
      </c>
      <c r="K455" s="7" t="s">
        <v>30</v>
      </c>
      <c r="L455" s="7" t="s">
        <v>1409</v>
      </c>
      <c r="M455" s="7" t="s">
        <v>61</v>
      </c>
      <c r="N455" s="10" t="e">
        <f>VLOOKUP(G455,Departments!A454:C459,3,0)</f>
        <v>#N/A</v>
      </c>
      <c r="O455" s="13" t="e">
        <f>INDEX(Departments!C454:C459,MATCH(Employees!G455,Departments!A454:A459,0))</f>
        <v>#N/A</v>
      </c>
    </row>
    <row r="456" spans="1:15" x14ac:dyDescent="0.35">
      <c r="A456" s="6" t="s">
        <v>1410</v>
      </c>
      <c r="B456" s="6" t="s">
        <v>175</v>
      </c>
      <c r="C456" s="6" t="s">
        <v>56</v>
      </c>
      <c r="D456" s="8" t="str">
        <f t="shared" si="7"/>
        <v>NEHA DUTTA</v>
      </c>
      <c r="E456" s="6" t="s">
        <v>64</v>
      </c>
      <c r="F456" s="6">
        <v>53</v>
      </c>
      <c r="G456" s="6" t="s">
        <v>51</v>
      </c>
      <c r="H456" s="6" t="s">
        <v>140</v>
      </c>
      <c r="I456" s="6" t="s">
        <v>1411</v>
      </c>
      <c r="J456" s="6">
        <v>67994</v>
      </c>
      <c r="K456" s="6" t="s">
        <v>18</v>
      </c>
      <c r="L456" s="6" t="s">
        <v>1412</v>
      </c>
      <c r="M456" s="6" t="s">
        <v>61</v>
      </c>
      <c r="N456" s="10" t="e">
        <f>VLOOKUP(G456,Departments!A455:C460,3,0)</f>
        <v>#N/A</v>
      </c>
      <c r="O456" s="13" t="e">
        <f>INDEX(Departments!C455:C460,MATCH(Employees!G456,Departments!A455:A460,0))</f>
        <v>#N/A</v>
      </c>
    </row>
    <row r="457" spans="1:15" x14ac:dyDescent="0.35">
      <c r="A457" s="7" t="s">
        <v>1413</v>
      </c>
      <c r="B457" s="7" t="s">
        <v>175</v>
      </c>
      <c r="C457" s="7" t="s">
        <v>111</v>
      </c>
      <c r="D457" s="8" t="str">
        <f t="shared" si="7"/>
        <v>NEHA KHAN</v>
      </c>
      <c r="E457" s="7" t="s">
        <v>64</v>
      </c>
      <c r="F457" s="7">
        <v>28</v>
      </c>
      <c r="G457" s="7" t="s">
        <v>53</v>
      </c>
      <c r="H457" s="7" t="s">
        <v>65</v>
      </c>
      <c r="I457" s="7" t="s">
        <v>1414</v>
      </c>
      <c r="J457" s="7">
        <v>51178</v>
      </c>
      <c r="K457" s="7" t="s">
        <v>30</v>
      </c>
      <c r="L457" s="7" t="s">
        <v>1415</v>
      </c>
      <c r="M457" s="7" t="s">
        <v>61</v>
      </c>
      <c r="N457" s="10" t="e">
        <f>VLOOKUP(G457,Departments!A456:C461,3,0)</f>
        <v>#N/A</v>
      </c>
      <c r="O457" s="13" t="e">
        <f>INDEX(Departments!C456:C461,MATCH(Employees!G457,Departments!A456:A461,0))</f>
        <v>#N/A</v>
      </c>
    </row>
    <row r="458" spans="1:15" x14ac:dyDescent="0.35">
      <c r="A458" s="6" t="s">
        <v>1416</v>
      </c>
      <c r="B458" s="6" t="s">
        <v>80</v>
      </c>
      <c r="C458" s="6" t="s">
        <v>197</v>
      </c>
      <c r="D458" s="8" t="str">
        <f t="shared" si="7"/>
        <v>JANE BROWN</v>
      </c>
      <c r="E458" s="6" t="s">
        <v>57</v>
      </c>
      <c r="F458" s="6">
        <v>29</v>
      </c>
      <c r="G458" s="6" t="s">
        <v>49</v>
      </c>
      <c r="H458" s="6" t="s">
        <v>140</v>
      </c>
      <c r="I458" s="6" t="s">
        <v>1417</v>
      </c>
      <c r="J458" s="6">
        <v>40759</v>
      </c>
      <c r="K458" s="6" t="s">
        <v>28</v>
      </c>
      <c r="L458" s="6" t="s">
        <v>1418</v>
      </c>
      <c r="M458" s="6" t="s">
        <v>61</v>
      </c>
      <c r="N458" s="10" t="e">
        <f>VLOOKUP(G458,Departments!A457:C462,3,0)</f>
        <v>#N/A</v>
      </c>
      <c r="O458" s="13" t="e">
        <f>INDEX(Departments!C457:C462,MATCH(Employees!G458,Departments!A457:A462,0))</f>
        <v>#N/A</v>
      </c>
    </row>
    <row r="459" spans="1:15" x14ac:dyDescent="0.35">
      <c r="A459" s="7" t="s">
        <v>1419</v>
      </c>
      <c r="B459" s="7" t="s">
        <v>75</v>
      </c>
      <c r="C459" s="7" t="s">
        <v>111</v>
      </c>
      <c r="D459" s="8" t="str">
        <f t="shared" si="7"/>
        <v>DAVID KHAN</v>
      </c>
      <c r="E459" s="7" t="s">
        <v>57</v>
      </c>
      <c r="F459" s="7">
        <v>32</v>
      </c>
      <c r="G459" s="7" t="s">
        <v>49</v>
      </c>
      <c r="H459" s="7" t="s">
        <v>65</v>
      </c>
      <c r="I459" s="7" t="s">
        <v>1420</v>
      </c>
      <c r="J459" s="7">
        <v>98394</v>
      </c>
      <c r="K459" s="7" t="s">
        <v>30</v>
      </c>
      <c r="L459" s="7" t="s">
        <v>1421</v>
      </c>
      <c r="M459" s="7" t="s">
        <v>73</v>
      </c>
      <c r="N459" s="10" t="e">
        <f>VLOOKUP(G459,Departments!A458:C463,3,0)</f>
        <v>#N/A</v>
      </c>
      <c r="O459" s="13" t="e">
        <f>INDEX(Departments!C458:C463,MATCH(Employees!G459,Departments!A458:A463,0))</f>
        <v>#N/A</v>
      </c>
    </row>
    <row r="460" spans="1:15" x14ac:dyDescent="0.35">
      <c r="A460" s="6" t="s">
        <v>1422</v>
      </c>
      <c r="B460" s="6" t="s">
        <v>89</v>
      </c>
      <c r="C460" s="6" t="s">
        <v>56</v>
      </c>
      <c r="D460" s="8" t="str">
        <f t="shared" si="7"/>
        <v>SARA DUTTA</v>
      </c>
      <c r="E460" s="6" t="s">
        <v>57</v>
      </c>
      <c r="F460" s="6">
        <v>37</v>
      </c>
      <c r="G460" s="6" t="s">
        <v>50</v>
      </c>
      <c r="H460" s="6" t="s">
        <v>70</v>
      </c>
      <c r="I460" s="6" t="s">
        <v>1423</v>
      </c>
      <c r="J460" s="6">
        <v>90148</v>
      </c>
      <c r="K460" s="6" t="s">
        <v>28</v>
      </c>
      <c r="L460" s="6" t="s">
        <v>1424</v>
      </c>
      <c r="M460" s="6" t="s">
        <v>61</v>
      </c>
      <c r="N460" s="10" t="e">
        <f>VLOOKUP(G460,Departments!A459:C464,3,0)</f>
        <v>#N/A</v>
      </c>
      <c r="O460" s="13" t="e">
        <f>INDEX(Departments!C459:C464,MATCH(Employees!G460,Departments!A459:A464,0))</f>
        <v>#N/A</v>
      </c>
    </row>
    <row r="461" spans="1:15" x14ac:dyDescent="0.35">
      <c r="A461" s="7" t="s">
        <v>1425</v>
      </c>
      <c r="B461" s="7" t="s">
        <v>69</v>
      </c>
      <c r="C461" s="7" t="s">
        <v>81</v>
      </c>
      <c r="D461" s="8" t="str">
        <f t="shared" si="7"/>
        <v>ROHIT GHOSH</v>
      </c>
      <c r="E461" s="7" t="s">
        <v>64</v>
      </c>
      <c r="F461" s="7">
        <v>32</v>
      </c>
      <c r="G461" s="7" t="s">
        <v>52</v>
      </c>
      <c r="H461" s="7" t="s">
        <v>58</v>
      </c>
      <c r="I461" s="7" t="s">
        <v>492</v>
      </c>
      <c r="J461" s="7">
        <v>63176</v>
      </c>
      <c r="K461" s="7" t="s">
        <v>18</v>
      </c>
      <c r="L461" s="7" t="s">
        <v>1426</v>
      </c>
      <c r="M461" s="7" t="s">
        <v>61</v>
      </c>
      <c r="N461" s="10" t="e">
        <f>VLOOKUP(G461,Departments!A460:C465,3,0)</f>
        <v>#N/A</v>
      </c>
      <c r="O461" s="13" t="e">
        <f>INDEX(Departments!C460:C465,MATCH(Employees!G461,Departments!A460:A465,0))</f>
        <v>#N/A</v>
      </c>
    </row>
    <row r="462" spans="1:15" x14ac:dyDescent="0.35">
      <c r="A462" s="6" t="s">
        <v>1427</v>
      </c>
      <c r="B462" s="6" t="s">
        <v>126</v>
      </c>
      <c r="C462" s="6" t="s">
        <v>122</v>
      </c>
      <c r="D462" s="8" t="str">
        <f t="shared" si="7"/>
        <v>PRIYA PAUL</v>
      </c>
      <c r="E462" s="6" t="s">
        <v>64</v>
      </c>
      <c r="F462" s="6">
        <v>55</v>
      </c>
      <c r="G462" s="6" t="s">
        <v>51</v>
      </c>
      <c r="H462" s="6" t="s">
        <v>65</v>
      </c>
      <c r="I462" s="6" t="s">
        <v>1428</v>
      </c>
      <c r="J462" s="6">
        <v>86434</v>
      </c>
      <c r="K462" s="6" t="s">
        <v>28</v>
      </c>
      <c r="L462" s="6" t="s">
        <v>1429</v>
      </c>
      <c r="M462" s="6" t="s">
        <v>73</v>
      </c>
      <c r="N462" s="10" t="e">
        <f>VLOOKUP(G462,Departments!A461:C466,3,0)</f>
        <v>#N/A</v>
      </c>
      <c r="O462" s="13" t="e">
        <f>INDEX(Departments!C461:C466,MATCH(Employees!G462,Departments!A461:A466,0))</f>
        <v>#N/A</v>
      </c>
    </row>
    <row r="463" spans="1:15" x14ac:dyDescent="0.35">
      <c r="A463" s="7" t="s">
        <v>1430</v>
      </c>
      <c r="B463" s="7" t="s">
        <v>175</v>
      </c>
      <c r="C463" s="7" t="s">
        <v>122</v>
      </c>
      <c r="D463" s="8" t="str">
        <f t="shared" si="7"/>
        <v>NEHA PAUL</v>
      </c>
      <c r="E463" s="7" t="s">
        <v>57</v>
      </c>
      <c r="F463" s="7">
        <v>42</v>
      </c>
      <c r="G463" s="7" t="s">
        <v>53</v>
      </c>
      <c r="H463" s="7" t="s">
        <v>58</v>
      </c>
      <c r="I463" s="7" t="s">
        <v>1431</v>
      </c>
      <c r="J463" s="7">
        <v>70836</v>
      </c>
      <c r="K463" s="7" t="s">
        <v>28</v>
      </c>
      <c r="L463" s="7" t="s">
        <v>1432</v>
      </c>
      <c r="M463" s="7" t="s">
        <v>73</v>
      </c>
      <c r="N463" s="10" t="e">
        <f>VLOOKUP(G463,Departments!A462:C467,3,0)</f>
        <v>#N/A</v>
      </c>
      <c r="O463" s="13" t="e">
        <f>INDEX(Departments!C462:C467,MATCH(Employees!G463,Departments!A462:A467,0))</f>
        <v>#N/A</v>
      </c>
    </row>
    <row r="464" spans="1:15" x14ac:dyDescent="0.35">
      <c r="A464" s="6" t="s">
        <v>1433</v>
      </c>
      <c r="B464" s="6" t="s">
        <v>75</v>
      </c>
      <c r="C464" s="6" t="s">
        <v>127</v>
      </c>
      <c r="D464" s="8" t="str">
        <f t="shared" si="7"/>
        <v>DAVID SMITH</v>
      </c>
      <c r="E464" s="6" t="s">
        <v>64</v>
      </c>
      <c r="F464" s="6">
        <v>49</v>
      </c>
      <c r="G464" s="6" t="s">
        <v>52</v>
      </c>
      <c r="H464" s="6" t="s">
        <v>70</v>
      </c>
      <c r="I464" s="6" t="s">
        <v>1434</v>
      </c>
      <c r="J464" s="6">
        <v>40805</v>
      </c>
      <c r="K464" s="6" t="s">
        <v>30</v>
      </c>
      <c r="L464" s="6" t="s">
        <v>1435</v>
      </c>
      <c r="M464" s="6" t="s">
        <v>61</v>
      </c>
      <c r="N464" s="10" t="e">
        <f>VLOOKUP(G464,Departments!A463:C468,3,0)</f>
        <v>#N/A</v>
      </c>
      <c r="O464" s="13" t="e">
        <f>INDEX(Departments!C463:C468,MATCH(Employees!G464,Departments!A463:A468,0))</f>
        <v>#N/A</v>
      </c>
    </row>
    <row r="465" spans="1:15" x14ac:dyDescent="0.35">
      <c r="A465" s="7" t="s">
        <v>1436</v>
      </c>
      <c r="B465" s="7" t="s">
        <v>80</v>
      </c>
      <c r="C465" s="7" t="s">
        <v>197</v>
      </c>
      <c r="D465" s="8" t="str">
        <f t="shared" si="7"/>
        <v>JANE BROWN</v>
      </c>
      <c r="E465" s="7" t="s">
        <v>64</v>
      </c>
      <c r="F465" s="7">
        <v>23</v>
      </c>
      <c r="G465" s="7" t="s">
        <v>49</v>
      </c>
      <c r="H465" s="7" t="s">
        <v>76</v>
      </c>
      <c r="I465" s="7" t="s">
        <v>1437</v>
      </c>
      <c r="J465" s="7">
        <v>117635</v>
      </c>
      <c r="K465" s="7" t="s">
        <v>18</v>
      </c>
      <c r="L465" s="7" t="s">
        <v>1438</v>
      </c>
      <c r="M465" s="7" t="s">
        <v>61</v>
      </c>
      <c r="N465" s="10" t="e">
        <f>VLOOKUP(G465,Departments!A464:C469,3,0)</f>
        <v>#N/A</v>
      </c>
      <c r="O465" s="13" t="e">
        <f>INDEX(Departments!C464:C469,MATCH(Employees!G465,Departments!A464:A469,0))</f>
        <v>#N/A</v>
      </c>
    </row>
    <row r="466" spans="1:15" x14ac:dyDescent="0.35">
      <c r="A466" s="6" t="s">
        <v>1439</v>
      </c>
      <c r="B466" s="6" t="s">
        <v>55</v>
      </c>
      <c r="C466" s="6" t="s">
        <v>115</v>
      </c>
      <c r="D466" s="8" t="str">
        <f t="shared" si="7"/>
        <v>AMIT SEN</v>
      </c>
      <c r="E466" s="6" t="s">
        <v>64</v>
      </c>
      <c r="F466" s="6">
        <v>45</v>
      </c>
      <c r="G466" s="6" t="s">
        <v>50</v>
      </c>
      <c r="H466" s="6" t="s">
        <v>76</v>
      </c>
      <c r="I466" s="6" t="s">
        <v>1440</v>
      </c>
      <c r="J466" s="6">
        <v>100678</v>
      </c>
      <c r="K466" s="6" t="s">
        <v>30</v>
      </c>
      <c r="L466" s="6" t="s">
        <v>1441</v>
      </c>
      <c r="M466" s="6" t="s">
        <v>73</v>
      </c>
      <c r="N466" s="10" t="e">
        <f>VLOOKUP(G466,Departments!A465:C470,3,0)</f>
        <v>#N/A</v>
      </c>
      <c r="O466" s="13" t="e">
        <f>INDEX(Departments!C465:C470,MATCH(Employees!G466,Departments!A465:A470,0))</f>
        <v>#N/A</v>
      </c>
    </row>
    <row r="467" spans="1:15" x14ac:dyDescent="0.35">
      <c r="A467" s="7" t="s">
        <v>1442</v>
      </c>
      <c r="B467" s="7" t="s">
        <v>69</v>
      </c>
      <c r="C467" s="7" t="s">
        <v>127</v>
      </c>
      <c r="D467" s="8" t="str">
        <f t="shared" si="7"/>
        <v>ROHIT SMITH</v>
      </c>
      <c r="E467" s="7" t="s">
        <v>64</v>
      </c>
      <c r="F467" s="7">
        <v>39</v>
      </c>
      <c r="G467" s="7" t="s">
        <v>49</v>
      </c>
      <c r="H467" s="7" t="s">
        <v>140</v>
      </c>
      <c r="I467" s="7" t="s">
        <v>1443</v>
      </c>
      <c r="J467" s="7">
        <v>76443</v>
      </c>
      <c r="K467" s="7" t="s">
        <v>28</v>
      </c>
      <c r="L467" s="7" t="s">
        <v>1444</v>
      </c>
      <c r="M467" s="7" t="s">
        <v>73</v>
      </c>
      <c r="N467" s="10" t="e">
        <f>VLOOKUP(G467,Departments!A466:C471,3,0)</f>
        <v>#N/A</v>
      </c>
      <c r="O467" s="13" t="e">
        <f>INDEX(Departments!C466:C471,MATCH(Employees!G467,Departments!A466:A471,0))</f>
        <v>#N/A</v>
      </c>
    </row>
    <row r="468" spans="1:15" x14ac:dyDescent="0.35">
      <c r="A468" s="6" t="s">
        <v>1445</v>
      </c>
      <c r="B468" s="6" t="s">
        <v>69</v>
      </c>
      <c r="C468" s="6" t="s">
        <v>122</v>
      </c>
      <c r="D468" s="8" t="str">
        <f t="shared" si="7"/>
        <v>ROHIT PAUL</v>
      </c>
      <c r="E468" s="6" t="s">
        <v>64</v>
      </c>
      <c r="F468" s="6">
        <v>44</v>
      </c>
      <c r="G468" s="6" t="s">
        <v>50</v>
      </c>
      <c r="H468" s="6" t="s">
        <v>65</v>
      </c>
      <c r="I468" s="6" t="s">
        <v>1446</v>
      </c>
      <c r="J468" s="6">
        <v>98210</v>
      </c>
      <c r="K468" s="6" t="s">
        <v>18</v>
      </c>
      <c r="L468" s="6" t="s">
        <v>1447</v>
      </c>
      <c r="M468" s="6" t="s">
        <v>61</v>
      </c>
      <c r="N468" s="10" t="e">
        <f>VLOOKUP(G468,Departments!A467:C472,3,0)</f>
        <v>#N/A</v>
      </c>
      <c r="O468" s="13" t="e">
        <f>INDEX(Departments!C467:C472,MATCH(Employees!G468,Departments!A467:A472,0))</f>
        <v>#N/A</v>
      </c>
    </row>
    <row r="469" spans="1:15" x14ac:dyDescent="0.35">
      <c r="A469" s="7" t="s">
        <v>1448</v>
      </c>
      <c r="B469" s="7" t="s">
        <v>69</v>
      </c>
      <c r="C469" s="7" t="s">
        <v>115</v>
      </c>
      <c r="D469" s="8" t="str">
        <f t="shared" si="7"/>
        <v>ROHIT SEN</v>
      </c>
      <c r="E469" s="7" t="s">
        <v>64</v>
      </c>
      <c r="F469" s="7">
        <v>60</v>
      </c>
      <c r="G469" s="7" t="s">
        <v>49</v>
      </c>
      <c r="H469" s="7" t="s">
        <v>76</v>
      </c>
      <c r="I469" s="7" t="s">
        <v>1449</v>
      </c>
      <c r="J469" s="7">
        <v>83719</v>
      </c>
      <c r="K469" s="7" t="s">
        <v>18</v>
      </c>
      <c r="L469" s="7" t="s">
        <v>1450</v>
      </c>
      <c r="M469" s="7" t="s">
        <v>73</v>
      </c>
      <c r="N469" s="10" t="e">
        <f>VLOOKUP(G469,Departments!A468:C473,3,0)</f>
        <v>#N/A</v>
      </c>
      <c r="O469" s="13" t="e">
        <f>INDEX(Departments!C468:C473,MATCH(Employees!G469,Departments!A468:A473,0))</f>
        <v>#N/A</v>
      </c>
    </row>
    <row r="470" spans="1:15" x14ac:dyDescent="0.35">
      <c r="A470" s="6" t="s">
        <v>1451</v>
      </c>
      <c r="B470" s="6" t="s">
        <v>85</v>
      </c>
      <c r="C470" s="6" t="s">
        <v>56</v>
      </c>
      <c r="D470" s="8" t="str">
        <f t="shared" si="7"/>
        <v>RAHUL DUTTA</v>
      </c>
      <c r="E470" s="6" t="s">
        <v>64</v>
      </c>
      <c r="F470" s="6">
        <v>53</v>
      </c>
      <c r="G470" s="6" t="s">
        <v>51</v>
      </c>
      <c r="H470" s="6" t="s">
        <v>65</v>
      </c>
      <c r="I470" s="6" t="s">
        <v>1452</v>
      </c>
      <c r="J470" s="6">
        <v>50965</v>
      </c>
      <c r="K470" s="6" t="s">
        <v>13</v>
      </c>
      <c r="L470" s="6" t="s">
        <v>1453</v>
      </c>
      <c r="M470" s="6" t="s">
        <v>61</v>
      </c>
      <c r="N470" s="10" t="e">
        <f>VLOOKUP(G470,Departments!A469:C474,3,0)</f>
        <v>#N/A</v>
      </c>
      <c r="O470" s="13" t="e">
        <f>INDEX(Departments!C469:C474,MATCH(Employees!G470,Departments!A469:A474,0))</f>
        <v>#N/A</v>
      </c>
    </row>
    <row r="471" spans="1:15" x14ac:dyDescent="0.35">
      <c r="A471" s="7" t="s">
        <v>1454</v>
      </c>
      <c r="B471" s="7" t="s">
        <v>126</v>
      </c>
      <c r="C471" s="7" t="s">
        <v>97</v>
      </c>
      <c r="D471" s="8" t="str">
        <f t="shared" si="7"/>
        <v>PRIYA SINGH</v>
      </c>
      <c r="E471" s="7" t="s">
        <v>64</v>
      </c>
      <c r="F471" s="7">
        <v>60</v>
      </c>
      <c r="G471" s="7" t="s">
        <v>50</v>
      </c>
      <c r="H471" s="7" t="s">
        <v>65</v>
      </c>
      <c r="I471" s="7" t="s">
        <v>1455</v>
      </c>
      <c r="J471" s="7">
        <v>113605</v>
      </c>
      <c r="K471" s="7" t="s">
        <v>13</v>
      </c>
      <c r="L471" s="7" t="s">
        <v>1456</v>
      </c>
      <c r="M471" s="7" t="s">
        <v>61</v>
      </c>
      <c r="N471" s="10" t="e">
        <f>VLOOKUP(G471,Departments!A470:C475,3,0)</f>
        <v>#N/A</v>
      </c>
      <c r="O471" s="13" t="e">
        <f>INDEX(Departments!C470:C475,MATCH(Employees!G471,Departments!A470:A475,0))</f>
        <v>#N/A</v>
      </c>
    </row>
    <row r="472" spans="1:15" x14ac:dyDescent="0.35">
      <c r="A472" s="6" t="s">
        <v>1457</v>
      </c>
      <c r="B472" s="6" t="s">
        <v>93</v>
      </c>
      <c r="C472" s="6" t="s">
        <v>111</v>
      </c>
      <c r="D472" s="8" t="str">
        <f t="shared" si="7"/>
        <v>JOHN KHAN</v>
      </c>
      <c r="E472" s="6" t="s">
        <v>57</v>
      </c>
      <c r="F472" s="6">
        <v>57</v>
      </c>
      <c r="G472" s="6" t="s">
        <v>53</v>
      </c>
      <c r="H472" s="6" t="s">
        <v>76</v>
      </c>
      <c r="I472" s="6" t="s">
        <v>355</v>
      </c>
      <c r="J472" s="6">
        <v>80135</v>
      </c>
      <c r="K472" s="6" t="s">
        <v>18</v>
      </c>
      <c r="L472" s="6" t="s">
        <v>1458</v>
      </c>
      <c r="M472" s="6" t="s">
        <v>61</v>
      </c>
      <c r="N472" s="10" t="e">
        <f>VLOOKUP(G472,Departments!A471:C476,3,0)</f>
        <v>#N/A</v>
      </c>
      <c r="O472" s="13" t="e">
        <f>INDEX(Departments!C471:C476,MATCH(Employees!G472,Departments!A471:A476,0))</f>
        <v>#N/A</v>
      </c>
    </row>
    <row r="473" spans="1:15" x14ac:dyDescent="0.35">
      <c r="A473" s="7" t="s">
        <v>1459</v>
      </c>
      <c r="B473" s="7" t="s">
        <v>104</v>
      </c>
      <c r="C473" s="7" t="s">
        <v>63</v>
      </c>
      <c r="D473" s="8" t="str">
        <f t="shared" si="7"/>
        <v>ANITA ROY</v>
      </c>
      <c r="E473" s="7" t="s">
        <v>64</v>
      </c>
      <c r="F473" s="7">
        <v>53</v>
      </c>
      <c r="G473" s="7" t="s">
        <v>50</v>
      </c>
      <c r="H473" s="7" t="s">
        <v>140</v>
      </c>
      <c r="I473" s="7" t="s">
        <v>1460</v>
      </c>
      <c r="J473" s="7">
        <v>56690</v>
      </c>
      <c r="K473" s="7" t="s">
        <v>13</v>
      </c>
      <c r="L473" s="7" t="s">
        <v>1461</v>
      </c>
      <c r="M473" s="7" t="s">
        <v>61</v>
      </c>
      <c r="N473" s="10" t="e">
        <f>VLOOKUP(G473,Departments!A472:C477,3,0)</f>
        <v>#N/A</v>
      </c>
      <c r="O473" s="13" t="e">
        <f>INDEX(Departments!C472:C477,MATCH(Employees!G473,Departments!A472:A477,0))</f>
        <v>#N/A</v>
      </c>
    </row>
    <row r="474" spans="1:15" x14ac:dyDescent="0.35">
      <c r="A474" s="6" t="s">
        <v>1462</v>
      </c>
      <c r="B474" s="6" t="s">
        <v>85</v>
      </c>
      <c r="C474" s="6" t="s">
        <v>81</v>
      </c>
      <c r="D474" s="8" t="str">
        <f t="shared" si="7"/>
        <v>RAHUL GHOSH</v>
      </c>
      <c r="E474" s="6" t="s">
        <v>64</v>
      </c>
      <c r="F474" s="6">
        <v>30</v>
      </c>
      <c r="G474" s="6" t="s">
        <v>50</v>
      </c>
      <c r="H474" s="6" t="s">
        <v>70</v>
      </c>
      <c r="I474" s="6" t="s">
        <v>275</v>
      </c>
      <c r="J474" s="6">
        <v>40070</v>
      </c>
      <c r="K474" s="6" t="s">
        <v>37</v>
      </c>
      <c r="L474" s="6" t="s">
        <v>1463</v>
      </c>
      <c r="M474" s="6" t="s">
        <v>61</v>
      </c>
      <c r="N474" s="10" t="e">
        <f>VLOOKUP(G474,Departments!A473:C478,3,0)</f>
        <v>#N/A</v>
      </c>
      <c r="O474" s="13" t="e">
        <f>INDEX(Departments!C473:C478,MATCH(Employees!G474,Departments!A473:A478,0))</f>
        <v>#N/A</v>
      </c>
    </row>
    <row r="475" spans="1:15" x14ac:dyDescent="0.35">
      <c r="A475" s="7" t="s">
        <v>1464</v>
      </c>
      <c r="B475" s="7" t="s">
        <v>69</v>
      </c>
      <c r="C475" s="7" t="s">
        <v>197</v>
      </c>
      <c r="D475" s="8" t="str">
        <f t="shared" si="7"/>
        <v>ROHIT BROWN</v>
      </c>
      <c r="E475" s="7" t="s">
        <v>64</v>
      </c>
      <c r="F475" s="7">
        <v>57</v>
      </c>
      <c r="G475" s="7" t="s">
        <v>49</v>
      </c>
      <c r="H475" s="7" t="s">
        <v>76</v>
      </c>
      <c r="I475" s="7" t="s">
        <v>1465</v>
      </c>
      <c r="J475" s="7">
        <v>83252</v>
      </c>
      <c r="K475" s="7" t="s">
        <v>13</v>
      </c>
      <c r="L475" s="7" t="s">
        <v>1466</v>
      </c>
      <c r="M475" s="7" t="s">
        <v>61</v>
      </c>
      <c r="N475" s="10" t="e">
        <f>VLOOKUP(G475,Departments!A474:C479,3,0)</f>
        <v>#N/A</v>
      </c>
      <c r="O475" s="13" t="e">
        <f>INDEX(Departments!C474:C479,MATCH(Employees!G475,Departments!A474:A479,0))</f>
        <v>#N/A</v>
      </c>
    </row>
    <row r="476" spans="1:15" x14ac:dyDescent="0.35">
      <c r="A476" s="6" t="s">
        <v>1467</v>
      </c>
      <c r="B476" s="6" t="s">
        <v>104</v>
      </c>
      <c r="C476" s="6" t="s">
        <v>122</v>
      </c>
      <c r="D476" s="8" t="str">
        <f t="shared" si="7"/>
        <v>ANITA PAUL</v>
      </c>
      <c r="E476" s="6" t="s">
        <v>64</v>
      </c>
      <c r="F476" s="6">
        <v>48</v>
      </c>
      <c r="G476" s="6" t="s">
        <v>52</v>
      </c>
      <c r="H476" s="6" t="s">
        <v>76</v>
      </c>
      <c r="I476" s="6" t="s">
        <v>1228</v>
      </c>
      <c r="J476" s="6">
        <v>66939</v>
      </c>
      <c r="K476" s="6" t="s">
        <v>30</v>
      </c>
      <c r="L476" s="6" t="s">
        <v>1468</v>
      </c>
      <c r="M476" s="6" t="s">
        <v>73</v>
      </c>
      <c r="N476" s="10" t="e">
        <f>VLOOKUP(G476,Departments!A475:C480,3,0)</f>
        <v>#N/A</v>
      </c>
      <c r="O476" s="13" t="e">
        <f>INDEX(Departments!C475:C480,MATCH(Employees!G476,Departments!A475:A480,0))</f>
        <v>#N/A</v>
      </c>
    </row>
    <row r="477" spans="1:15" x14ac:dyDescent="0.35">
      <c r="A477" s="7" t="s">
        <v>1469</v>
      </c>
      <c r="B477" s="7" t="s">
        <v>55</v>
      </c>
      <c r="C477" s="7" t="s">
        <v>122</v>
      </c>
      <c r="D477" s="8" t="str">
        <f t="shared" si="7"/>
        <v>AMIT PAUL</v>
      </c>
      <c r="E477" s="7" t="s">
        <v>64</v>
      </c>
      <c r="F477" s="7">
        <v>58</v>
      </c>
      <c r="G477" s="7" t="s">
        <v>52</v>
      </c>
      <c r="H477" s="7" t="s">
        <v>58</v>
      </c>
      <c r="I477" s="7" t="s">
        <v>1470</v>
      </c>
      <c r="J477" s="7">
        <v>51367</v>
      </c>
      <c r="K477" s="7" t="s">
        <v>28</v>
      </c>
      <c r="L477" s="7" t="s">
        <v>1471</v>
      </c>
      <c r="M477" s="7" t="s">
        <v>61</v>
      </c>
      <c r="N477" s="10" t="e">
        <f>VLOOKUP(G477,Departments!A476:C481,3,0)</f>
        <v>#N/A</v>
      </c>
      <c r="O477" s="13" t="e">
        <f>INDEX(Departments!C476:C481,MATCH(Employees!G477,Departments!A476:A481,0))</f>
        <v>#N/A</v>
      </c>
    </row>
    <row r="478" spans="1:15" x14ac:dyDescent="0.35">
      <c r="A478" s="6" t="s">
        <v>1472</v>
      </c>
      <c r="B478" s="6" t="s">
        <v>175</v>
      </c>
      <c r="C478" s="6" t="s">
        <v>127</v>
      </c>
      <c r="D478" s="8" t="str">
        <f t="shared" si="7"/>
        <v>NEHA SMITH</v>
      </c>
      <c r="E478" s="6" t="s">
        <v>57</v>
      </c>
      <c r="F478" s="6">
        <v>60</v>
      </c>
      <c r="G478" s="6" t="s">
        <v>52</v>
      </c>
      <c r="H478" s="6" t="s">
        <v>58</v>
      </c>
      <c r="I478" s="6" t="s">
        <v>1473</v>
      </c>
      <c r="J478" s="6">
        <v>94212</v>
      </c>
      <c r="K478" s="6" t="s">
        <v>18</v>
      </c>
      <c r="L478" s="6" t="s">
        <v>1474</v>
      </c>
      <c r="M478" s="6" t="s">
        <v>61</v>
      </c>
      <c r="N478" s="10" t="e">
        <f>VLOOKUP(G478,Departments!A477:C482,3,0)</f>
        <v>#N/A</v>
      </c>
      <c r="O478" s="13" t="e">
        <f>INDEX(Departments!C477:C482,MATCH(Employees!G478,Departments!A477:A482,0))</f>
        <v>#N/A</v>
      </c>
    </row>
    <row r="479" spans="1:15" x14ac:dyDescent="0.35">
      <c r="A479" s="7" t="s">
        <v>1475</v>
      </c>
      <c r="B479" s="7" t="s">
        <v>80</v>
      </c>
      <c r="C479" s="7" t="s">
        <v>162</v>
      </c>
      <c r="D479" s="8" t="str">
        <f t="shared" si="7"/>
        <v>JANE DAS</v>
      </c>
      <c r="E479" s="7" t="s">
        <v>64</v>
      </c>
      <c r="F479" s="7">
        <v>44</v>
      </c>
      <c r="G479" s="7" t="s">
        <v>50</v>
      </c>
      <c r="H479" s="7" t="s">
        <v>76</v>
      </c>
      <c r="I479" s="7" t="s">
        <v>1032</v>
      </c>
      <c r="J479" s="7">
        <v>47411</v>
      </c>
      <c r="K479" s="7" t="s">
        <v>13</v>
      </c>
      <c r="L479" s="7" t="s">
        <v>1476</v>
      </c>
      <c r="M479" s="7" t="s">
        <v>73</v>
      </c>
      <c r="N479" s="10" t="e">
        <f>VLOOKUP(G479,Departments!A478:C483,3,0)</f>
        <v>#N/A</v>
      </c>
      <c r="O479" s="13" t="e">
        <f>INDEX(Departments!C478:C483,MATCH(Employees!G479,Departments!A478:A483,0))</f>
        <v>#N/A</v>
      </c>
    </row>
    <row r="480" spans="1:15" x14ac:dyDescent="0.35">
      <c r="A480" s="6" t="s">
        <v>1477</v>
      </c>
      <c r="B480" s="6" t="s">
        <v>89</v>
      </c>
      <c r="C480" s="6" t="s">
        <v>63</v>
      </c>
      <c r="D480" s="8" t="str">
        <f t="shared" si="7"/>
        <v>SARA ROY</v>
      </c>
      <c r="E480" s="6" t="s">
        <v>57</v>
      </c>
      <c r="F480" s="6">
        <v>49</v>
      </c>
      <c r="G480" s="6" t="s">
        <v>52</v>
      </c>
      <c r="H480" s="6" t="s">
        <v>65</v>
      </c>
      <c r="I480" s="6" t="s">
        <v>1478</v>
      </c>
      <c r="J480" s="6">
        <v>67896</v>
      </c>
      <c r="K480" s="6" t="s">
        <v>18</v>
      </c>
      <c r="L480" s="6" t="s">
        <v>1479</v>
      </c>
      <c r="M480" s="6" t="s">
        <v>73</v>
      </c>
      <c r="N480" s="10" t="e">
        <f>VLOOKUP(G480,Departments!A479:C484,3,0)</f>
        <v>#N/A</v>
      </c>
      <c r="O480" s="13" t="e">
        <f>INDEX(Departments!C479:C484,MATCH(Employees!G480,Departments!A479:A484,0))</f>
        <v>#N/A</v>
      </c>
    </row>
    <row r="481" spans="1:15" x14ac:dyDescent="0.35">
      <c r="A481" s="7" t="s">
        <v>1480</v>
      </c>
      <c r="B481" s="7" t="s">
        <v>85</v>
      </c>
      <c r="C481" s="7" t="s">
        <v>197</v>
      </c>
      <c r="D481" s="8" t="str">
        <f t="shared" si="7"/>
        <v>RAHUL BROWN</v>
      </c>
      <c r="E481" s="7" t="s">
        <v>64</v>
      </c>
      <c r="F481" s="7">
        <v>58</v>
      </c>
      <c r="G481" s="7" t="s">
        <v>53</v>
      </c>
      <c r="H481" s="7" t="s">
        <v>76</v>
      </c>
      <c r="I481" s="7" t="s">
        <v>1481</v>
      </c>
      <c r="J481" s="7">
        <v>81285</v>
      </c>
      <c r="K481" s="7" t="s">
        <v>18</v>
      </c>
      <c r="L481" s="7" t="s">
        <v>1482</v>
      </c>
      <c r="M481" s="7" t="s">
        <v>61</v>
      </c>
      <c r="N481" s="10" t="e">
        <f>VLOOKUP(G481,Departments!A480:C485,3,0)</f>
        <v>#N/A</v>
      </c>
      <c r="O481" s="13" t="e">
        <f>INDEX(Departments!C480:C485,MATCH(Employees!G481,Departments!A480:A485,0))</f>
        <v>#N/A</v>
      </c>
    </row>
    <row r="482" spans="1:15" x14ac:dyDescent="0.35">
      <c r="A482" s="6" t="s">
        <v>1483</v>
      </c>
      <c r="B482" s="6" t="s">
        <v>85</v>
      </c>
      <c r="C482" s="6" t="s">
        <v>97</v>
      </c>
      <c r="D482" s="8" t="str">
        <f t="shared" si="7"/>
        <v>RAHUL SINGH</v>
      </c>
      <c r="E482" s="6" t="s">
        <v>57</v>
      </c>
      <c r="F482" s="6">
        <v>53</v>
      </c>
      <c r="G482" s="6" t="s">
        <v>53</v>
      </c>
      <c r="H482" s="6" t="s">
        <v>140</v>
      </c>
      <c r="I482" s="6" t="s">
        <v>1484</v>
      </c>
      <c r="J482" s="6">
        <v>100041</v>
      </c>
      <c r="K482" s="6" t="s">
        <v>30</v>
      </c>
      <c r="L482" s="6" t="s">
        <v>1485</v>
      </c>
      <c r="M482" s="6" t="s">
        <v>61</v>
      </c>
      <c r="N482" s="10" t="e">
        <f>VLOOKUP(G482,Departments!A481:C486,3,0)</f>
        <v>#N/A</v>
      </c>
      <c r="O482" s="13" t="e">
        <f>INDEX(Departments!C481:C486,MATCH(Employees!G482,Departments!A481:A486,0))</f>
        <v>#N/A</v>
      </c>
    </row>
    <row r="483" spans="1:15" x14ac:dyDescent="0.35">
      <c r="A483" s="7" t="s">
        <v>1486</v>
      </c>
      <c r="B483" s="7" t="s">
        <v>55</v>
      </c>
      <c r="C483" s="7" t="s">
        <v>115</v>
      </c>
      <c r="D483" s="8" t="str">
        <f t="shared" si="7"/>
        <v>AMIT SEN</v>
      </c>
      <c r="E483" s="7" t="s">
        <v>64</v>
      </c>
      <c r="F483" s="7">
        <v>48</v>
      </c>
      <c r="G483" s="7" t="s">
        <v>53</v>
      </c>
      <c r="H483" s="7" t="s">
        <v>140</v>
      </c>
      <c r="I483" s="7" t="s">
        <v>1487</v>
      </c>
      <c r="J483" s="7">
        <v>88033</v>
      </c>
      <c r="K483" s="7" t="s">
        <v>37</v>
      </c>
      <c r="L483" s="7" t="s">
        <v>1488</v>
      </c>
      <c r="M483" s="7" t="s">
        <v>61</v>
      </c>
      <c r="N483" s="10" t="e">
        <f>VLOOKUP(G483,Departments!A482:C487,3,0)</f>
        <v>#N/A</v>
      </c>
      <c r="O483" s="13" t="e">
        <f>INDEX(Departments!C482:C487,MATCH(Employees!G483,Departments!A482:A487,0))</f>
        <v>#N/A</v>
      </c>
    </row>
    <row r="484" spans="1:15" x14ac:dyDescent="0.35">
      <c r="A484" s="6" t="s">
        <v>1489</v>
      </c>
      <c r="B484" s="6" t="s">
        <v>75</v>
      </c>
      <c r="C484" s="6" t="s">
        <v>81</v>
      </c>
      <c r="D484" s="8" t="str">
        <f t="shared" si="7"/>
        <v>DAVID GHOSH</v>
      </c>
      <c r="E484" s="6" t="s">
        <v>57</v>
      </c>
      <c r="F484" s="6">
        <v>40</v>
      </c>
      <c r="G484" s="6" t="s">
        <v>52</v>
      </c>
      <c r="H484" s="6" t="s">
        <v>140</v>
      </c>
      <c r="I484" s="6" t="s">
        <v>1490</v>
      </c>
      <c r="J484" s="6">
        <v>71291</v>
      </c>
      <c r="K484" s="6" t="s">
        <v>18</v>
      </c>
      <c r="L484" s="6" t="s">
        <v>1491</v>
      </c>
      <c r="M484" s="6" t="s">
        <v>73</v>
      </c>
      <c r="N484" s="10" t="e">
        <f>VLOOKUP(G484,Departments!A483:C488,3,0)</f>
        <v>#N/A</v>
      </c>
      <c r="O484" s="13" t="e">
        <f>INDEX(Departments!C483:C488,MATCH(Employees!G484,Departments!A483:A488,0))</f>
        <v>#N/A</v>
      </c>
    </row>
    <row r="485" spans="1:15" x14ac:dyDescent="0.35">
      <c r="A485" s="7" t="s">
        <v>1492</v>
      </c>
      <c r="B485" s="7" t="s">
        <v>175</v>
      </c>
      <c r="C485" s="7" t="s">
        <v>81</v>
      </c>
      <c r="D485" s="8" t="str">
        <f t="shared" si="7"/>
        <v>NEHA GHOSH</v>
      </c>
      <c r="E485" s="7" t="s">
        <v>57</v>
      </c>
      <c r="F485" s="7">
        <v>27</v>
      </c>
      <c r="G485" s="7" t="s">
        <v>51</v>
      </c>
      <c r="H485" s="7" t="s">
        <v>76</v>
      </c>
      <c r="I485" s="7" t="s">
        <v>1493</v>
      </c>
      <c r="J485" s="7">
        <v>48563</v>
      </c>
      <c r="K485" s="7" t="s">
        <v>18</v>
      </c>
      <c r="L485" s="7" t="s">
        <v>1494</v>
      </c>
      <c r="M485" s="7" t="s">
        <v>73</v>
      </c>
      <c r="N485" s="10" t="e">
        <f>VLOOKUP(G485,Departments!A484:C489,3,0)</f>
        <v>#N/A</v>
      </c>
      <c r="O485" s="13" t="e">
        <f>INDEX(Departments!C484:C489,MATCH(Employees!G485,Departments!A484:A489,0))</f>
        <v>#N/A</v>
      </c>
    </row>
    <row r="486" spans="1:15" x14ac:dyDescent="0.35">
      <c r="A486" s="6" t="s">
        <v>1495</v>
      </c>
      <c r="B486" s="6" t="s">
        <v>93</v>
      </c>
      <c r="C486" s="6" t="s">
        <v>81</v>
      </c>
      <c r="D486" s="8" t="str">
        <f t="shared" si="7"/>
        <v>JOHN GHOSH</v>
      </c>
      <c r="E486" s="6" t="s">
        <v>64</v>
      </c>
      <c r="F486" s="6">
        <v>37</v>
      </c>
      <c r="G486" s="6" t="s">
        <v>51</v>
      </c>
      <c r="H486" s="6" t="s">
        <v>70</v>
      </c>
      <c r="I486" s="6" t="s">
        <v>1496</v>
      </c>
      <c r="J486" s="6">
        <v>71454</v>
      </c>
      <c r="K486" s="6" t="s">
        <v>30</v>
      </c>
      <c r="L486" s="6" t="s">
        <v>1497</v>
      </c>
      <c r="M486" s="6" t="s">
        <v>61</v>
      </c>
      <c r="N486" s="10" t="e">
        <f>VLOOKUP(G486,Departments!A485:C490,3,0)</f>
        <v>#N/A</v>
      </c>
      <c r="O486" s="13" t="e">
        <f>INDEX(Departments!C485:C490,MATCH(Employees!G486,Departments!A485:A490,0))</f>
        <v>#N/A</v>
      </c>
    </row>
    <row r="487" spans="1:15" x14ac:dyDescent="0.35">
      <c r="A487" s="7" t="s">
        <v>1498</v>
      </c>
      <c r="B487" s="7" t="s">
        <v>126</v>
      </c>
      <c r="C487" s="7" t="s">
        <v>97</v>
      </c>
      <c r="D487" s="8" t="str">
        <f t="shared" si="7"/>
        <v>PRIYA SINGH</v>
      </c>
      <c r="E487" s="7" t="s">
        <v>64</v>
      </c>
      <c r="F487" s="7">
        <v>39</v>
      </c>
      <c r="G487" s="7" t="s">
        <v>51</v>
      </c>
      <c r="H487" s="7" t="s">
        <v>70</v>
      </c>
      <c r="I487" s="7" t="s">
        <v>1499</v>
      </c>
      <c r="J487" s="7">
        <v>44271</v>
      </c>
      <c r="K487" s="7" t="s">
        <v>18</v>
      </c>
      <c r="L487" s="7" t="s">
        <v>1500</v>
      </c>
      <c r="M487" s="7" t="s">
        <v>73</v>
      </c>
      <c r="N487" s="10" t="e">
        <f>VLOOKUP(G487,Departments!A486:C491,3,0)</f>
        <v>#N/A</v>
      </c>
      <c r="O487" s="13" t="e">
        <f>INDEX(Departments!C486:C491,MATCH(Employees!G487,Departments!A486:A491,0))</f>
        <v>#N/A</v>
      </c>
    </row>
    <row r="488" spans="1:15" x14ac:dyDescent="0.35">
      <c r="A488" s="6" t="s">
        <v>1501</v>
      </c>
      <c r="B488" s="6" t="s">
        <v>75</v>
      </c>
      <c r="C488" s="6" t="s">
        <v>56</v>
      </c>
      <c r="D488" s="8" t="str">
        <f t="shared" si="7"/>
        <v>DAVID DUTTA</v>
      </c>
      <c r="E488" s="6" t="s">
        <v>57</v>
      </c>
      <c r="F488" s="6">
        <v>56</v>
      </c>
      <c r="G488" s="6" t="s">
        <v>49</v>
      </c>
      <c r="H488" s="6" t="s">
        <v>58</v>
      </c>
      <c r="I488" s="6" t="s">
        <v>1502</v>
      </c>
      <c r="J488" s="6">
        <v>93401</v>
      </c>
      <c r="K488" s="6" t="s">
        <v>28</v>
      </c>
      <c r="L488" s="6" t="s">
        <v>1503</v>
      </c>
      <c r="M488" s="6" t="s">
        <v>61</v>
      </c>
      <c r="N488" s="10" t="e">
        <f>VLOOKUP(G488,Departments!A487:C492,3,0)</f>
        <v>#N/A</v>
      </c>
      <c r="O488" s="13" t="e">
        <f>INDEX(Departments!C487:C492,MATCH(Employees!G488,Departments!A487:A492,0))</f>
        <v>#N/A</v>
      </c>
    </row>
    <row r="489" spans="1:15" x14ac:dyDescent="0.35">
      <c r="A489" s="7" t="s">
        <v>1504</v>
      </c>
      <c r="B489" s="7" t="s">
        <v>104</v>
      </c>
      <c r="C489" s="7" t="s">
        <v>97</v>
      </c>
      <c r="D489" s="8" t="str">
        <f t="shared" si="7"/>
        <v>ANITA SINGH</v>
      </c>
      <c r="E489" s="7" t="s">
        <v>64</v>
      </c>
      <c r="F489" s="7">
        <v>22</v>
      </c>
      <c r="G489" s="7" t="s">
        <v>51</v>
      </c>
      <c r="H489" s="7" t="s">
        <v>70</v>
      </c>
      <c r="I489" s="7" t="s">
        <v>1505</v>
      </c>
      <c r="J489" s="7">
        <v>56106</v>
      </c>
      <c r="K489" s="7" t="s">
        <v>30</v>
      </c>
      <c r="L489" s="7" t="s">
        <v>1506</v>
      </c>
      <c r="M489" s="7" t="s">
        <v>73</v>
      </c>
      <c r="N489" s="10" t="e">
        <f>VLOOKUP(G489,Departments!A488:C493,3,0)</f>
        <v>#N/A</v>
      </c>
      <c r="O489" s="13" t="e">
        <f>INDEX(Departments!C488:C493,MATCH(Employees!G489,Departments!A488:A493,0))</f>
        <v>#N/A</v>
      </c>
    </row>
    <row r="490" spans="1:15" x14ac:dyDescent="0.35">
      <c r="A490" s="6" t="s">
        <v>1507</v>
      </c>
      <c r="B490" s="6" t="s">
        <v>126</v>
      </c>
      <c r="C490" s="6" t="s">
        <v>127</v>
      </c>
      <c r="D490" s="8" t="str">
        <f t="shared" si="7"/>
        <v>PRIYA SMITH</v>
      </c>
      <c r="E490" s="6" t="s">
        <v>57</v>
      </c>
      <c r="F490" s="6">
        <v>38</v>
      </c>
      <c r="G490" s="6" t="s">
        <v>53</v>
      </c>
      <c r="H490" s="6" t="s">
        <v>70</v>
      </c>
      <c r="I490" s="6" t="s">
        <v>332</v>
      </c>
      <c r="J490" s="6">
        <v>106273</v>
      </c>
      <c r="K490" s="6" t="s">
        <v>30</v>
      </c>
      <c r="L490" s="6" t="s">
        <v>1508</v>
      </c>
      <c r="M490" s="6" t="s">
        <v>73</v>
      </c>
      <c r="N490" s="10" t="e">
        <f>VLOOKUP(G490,Departments!A489:C494,3,0)</f>
        <v>#N/A</v>
      </c>
      <c r="O490" s="13" t="e">
        <f>INDEX(Departments!C489:C494,MATCH(Employees!G490,Departments!A489:A494,0))</f>
        <v>#N/A</v>
      </c>
    </row>
    <row r="491" spans="1:15" x14ac:dyDescent="0.35">
      <c r="A491" s="7" t="s">
        <v>1509</v>
      </c>
      <c r="B491" s="7" t="s">
        <v>104</v>
      </c>
      <c r="C491" s="7" t="s">
        <v>162</v>
      </c>
      <c r="D491" s="8" t="str">
        <f t="shared" si="7"/>
        <v>ANITA DAS</v>
      </c>
      <c r="E491" s="7" t="s">
        <v>64</v>
      </c>
      <c r="F491" s="7">
        <v>45</v>
      </c>
      <c r="G491" s="7" t="s">
        <v>50</v>
      </c>
      <c r="H491" s="7" t="s">
        <v>76</v>
      </c>
      <c r="I491" s="7" t="s">
        <v>1510</v>
      </c>
      <c r="J491" s="7">
        <v>105710</v>
      </c>
      <c r="K491" s="7" t="s">
        <v>37</v>
      </c>
      <c r="L491" s="7" t="s">
        <v>1511</v>
      </c>
      <c r="M491" s="7" t="s">
        <v>61</v>
      </c>
      <c r="N491" s="10" t="e">
        <f>VLOOKUP(G491,Departments!A490:C495,3,0)</f>
        <v>#N/A</v>
      </c>
      <c r="O491" s="13" t="e">
        <f>INDEX(Departments!C490:C495,MATCH(Employees!G491,Departments!A490:A495,0))</f>
        <v>#N/A</v>
      </c>
    </row>
    <row r="492" spans="1:15" x14ac:dyDescent="0.35">
      <c r="A492" s="6" t="s">
        <v>1512</v>
      </c>
      <c r="B492" s="6" t="s">
        <v>175</v>
      </c>
      <c r="C492" s="6" t="s">
        <v>56</v>
      </c>
      <c r="D492" s="8" t="str">
        <f t="shared" si="7"/>
        <v>NEHA DUTTA</v>
      </c>
      <c r="E492" s="6" t="s">
        <v>57</v>
      </c>
      <c r="F492" s="6">
        <v>46</v>
      </c>
      <c r="G492" s="6" t="s">
        <v>50</v>
      </c>
      <c r="H492" s="6" t="s">
        <v>140</v>
      </c>
      <c r="I492" s="6" t="s">
        <v>302</v>
      </c>
      <c r="J492" s="6">
        <v>68751</v>
      </c>
      <c r="K492" s="6" t="s">
        <v>30</v>
      </c>
      <c r="L492" s="6" t="s">
        <v>1513</v>
      </c>
      <c r="M492" s="6" t="s">
        <v>61</v>
      </c>
      <c r="N492" s="10" t="e">
        <f>VLOOKUP(G492,Departments!A491:C496,3,0)</f>
        <v>#N/A</v>
      </c>
      <c r="O492" s="13" t="e">
        <f>INDEX(Departments!C491:C496,MATCH(Employees!G492,Departments!A491:A496,0))</f>
        <v>#N/A</v>
      </c>
    </row>
    <row r="493" spans="1:15" x14ac:dyDescent="0.35">
      <c r="A493" s="7" t="s">
        <v>1514</v>
      </c>
      <c r="B493" s="7" t="s">
        <v>75</v>
      </c>
      <c r="C493" s="7" t="s">
        <v>81</v>
      </c>
      <c r="D493" s="8" t="str">
        <f t="shared" si="7"/>
        <v>DAVID GHOSH</v>
      </c>
      <c r="E493" s="7" t="s">
        <v>57</v>
      </c>
      <c r="F493" s="7">
        <v>33</v>
      </c>
      <c r="G493" s="7" t="s">
        <v>49</v>
      </c>
      <c r="H493" s="7" t="s">
        <v>65</v>
      </c>
      <c r="I493" s="7" t="s">
        <v>1515</v>
      </c>
      <c r="J493" s="7">
        <v>63873</v>
      </c>
      <c r="K493" s="7" t="s">
        <v>28</v>
      </c>
      <c r="L493" s="7" t="s">
        <v>1516</v>
      </c>
      <c r="M493" s="7" t="s">
        <v>61</v>
      </c>
      <c r="N493" s="10" t="e">
        <f>VLOOKUP(G493,Departments!A492:C497,3,0)</f>
        <v>#N/A</v>
      </c>
      <c r="O493" s="13" t="e">
        <f>INDEX(Departments!C492:C497,MATCH(Employees!G493,Departments!A492:A497,0))</f>
        <v>#N/A</v>
      </c>
    </row>
    <row r="494" spans="1:15" x14ac:dyDescent="0.35">
      <c r="A494" s="6" t="s">
        <v>1517</v>
      </c>
      <c r="B494" s="6" t="s">
        <v>85</v>
      </c>
      <c r="C494" s="6" t="s">
        <v>81</v>
      </c>
      <c r="D494" s="8" t="str">
        <f t="shared" si="7"/>
        <v>RAHUL GHOSH</v>
      </c>
      <c r="E494" s="6" t="s">
        <v>64</v>
      </c>
      <c r="F494" s="6">
        <v>39</v>
      </c>
      <c r="G494" s="6" t="s">
        <v>50</v>
      </c>
      <c r="H494" s="6" t="s">
        <v>76</v>
      </c>
      <c r="I494" s="6" t="s">
        <v>1041</v>
      </c>
      <c r="J494" s="6">
        <v>117465</v>
      </c>
      <c r="K494" s="6" t="s">
        <v>18</v>
      </c>
      <c r="L494" s="6" t="s">
        <v>1518</v>
      </c>
      <c r="M494" s="6" t="s">
        <v>73</v>
      </c>
      <c r="N494" s="10" t="e">
        <f>VLOOKUP(G494,Departments!A493:C498,3,0)</f>
        <v>#N/A</v>
      </c>
      <c r="O494" s="13" t="e">
        <f>INDEX(Departments!C493:C498,MATCH(Employees!G494,Departments!A493:A498,0))</f>
        <v>#N/A</v>
      </c>
    </row>
    <row r="495" spans="1:15" x14ac:dyDescent="0.35">
      <c r="A495" s="7" t="s">
        <v>1519</v>
      </c>
      <c r="B495" s="7" t="s">
        <v>80</v>
      </c>
      <c r="C495" s="7" t="s">
        <v>162</v>
      </c>
      <c r="D495" s="8" t="str">
        <f t="shared" si="7"/>
        <v>JANE DAS</v>
      </c>
      <c r="E495" s="7" t="s">
        <v>57</v>
      </c>
      <c r="F495" s="7">
        <v>44</v>
      </c>
      <c r="G495" s="7" t="s">
        <v>52</v>
      </c>
      <c r="H495" s="7" t="s">
        <v>65</v>
      </c>
      <c r="I495" s="7" t="s">
        <v>1520</v>
      </c>
      <c r="J495" s="7">
        <v>59582</v>
      </c>
      <c r="K495" s="7" t="s">
        <v>37</v>
      </c>
      <c r="L495" s="7" t="s">
        <v>1521</v>
      </c>
      <c r="M495" s="7" t="s">
        <v>73</v>
      </c>
      <c r="N495" s="10" t="e">
        <f>VLOOKUP(G495,Departments!A494:C499,3,0)</f>
        <v>#N/A</v>
      </c>
      <c r="O495" s="13" t="e">
        <f>INDEX(Departments!C494:C499,MATCH(Employees!G495,Departments!A494:A499,0))</f>
        <v>#N/A</v>
      </c>
    </row>
    <row r="496" spans="1:15" x14ac:dyDescent="0.35">
      <c r="A496" s="6" t="s">
        <v>1522</v>
      </c>
      <c r="B496" s="6" t="s">
        <v>93</v>
      </c>
      <c r="C496" s="6" t="s">
        <v>115</v>
      </c>
      <c r="D496" s="8" t="str">
        <f t="shared" si="7"/>
        <v>JOHN SEN</v>
      </c>
      <c r="E496" s="6" t="s">
        <v>57</v>
      </c>
      <c r="F496" s="6">
        <v>51</v>
      </c>
      <c r="G496" s="6" t="s">
        <v>52</v>
      </c>
      <c r="H496" s="6" t="s">
        <v>58</v>
      </c>
      <c r="I496" s="6" t="s">
        <v>1523</v>
      </c>
      <c r="J496" s="6">
        <v>117932</v>
      </c>
      <c r="K496" s="6" t="s">
        <v>37</v>
      </c>
      <c r="L496" s="6" t="s">
        <v>1524</v>
      </c>
      <c r="M496" s="6" t="s">
        <v>61</v>
      </c>
      <c r="N496" s="10" t="e">
        <f>VLOOKUP(G496,Departments!A495:C500,3,0)</f>
        <v>#N/A</v>
      </c>
      <c r="O496" s="13" t="e">
        <f>INDEX(Departments!C495:C500,MATCH(Employees!G496,Departments!A495:A500,0))</f>
        <v>#N/A</v>
      </c>
    </row>
    <row r="497" spans="1:15" x14ac:dyDescent="0.35">
      <c r="A497" s="7" t="s">
        <v>1525</v>
      </c>
      <c r="B497" s="7" t="s">
        <v>85</v>
      </c>
      <c r="C497" s="7" t="s">
        <v>81</v>
      </c>
      <c r="D497" s="8" t="str">
        <f t="shared" si="7"/>
        <v>RAHUL GHOSH</v>
      </c>
      <c r="E497" s="7" t="s">
        <v>64</v>
      </c>
      <c r="F497" s="7">
        <v>58</v>
      </c>
      <c r="G497" s="7" t="s">
        <v>49</v>
      </c>
      <c r="H497" s="7" t="s">
        <v>76</v>
      </c>
      <c r="I497" s="7" t="s">
        <v>1526</v>
      </c>
      <c r="J497" s="7">
        <v>95198</v>
      </c>
      <c r="K497" s="7" t="s">
        <v>37</v>
      </c>
      <c r="L497" s="7" t="s">
        <v>1527</v>
      </c>
      <c r="M497" s="7" t="s">
        <v>61</v>
      </c>
      <c r="N497" s="10" t="e">
        <f>VLOOKUP(G497,Departments!A496:C501,3,0)</f>
        <v>#N/A</v>
      </c>
      <c r="O497" s="13" t="e">
        <f>INDEX(Departments!C496:C501,MATCH(Employees!G497,Departments!A496:A501,0))</f>
        <v>#N/A</v>
      </c>
    </row>
    <row r="498" spans="1:15" x14ac:dyDescent="0.35">
      <c r="A498" s="6" t="s">
        <v>1528</v>
      </c>
      <c r="B498" s="6" t="s">
        <v>93</v>
      </c>
      <c r="C498" s="6" t="s">
        <v>197</v>
      </c>
      <c r="D498" s="8" t="str">
        <f t="shared" si="7"/>
        <v>JOHN BROWN</v>
      </c>
      <c r="E498" s="6" t="s">
        <v>64</v>
      </c>
      <c r="F498" s="6">
        <v>24</v>
      </c>
      <c r="G498" s="6" t="s">
        <v>52</v>
      </c>
      <c r="H498" s="6" t="s">
        <v>70</v>
      </c>
      <c r="I498" s="6" t="s">
        <v>1529</v>
      </c>
      <c r="J498" s="6">
        <v>61647</v>
      </c>
      <c r="K498" s="6" t="s">
        <v>37</v>
      </c>
      <c r="L498" s="6" t="s">
        <v>1530</v>
      </c>
      <c r="M498" s="6" t="s">
        <v>73</v>
      </c>
      <c r="N498" s="10" t="e">
        <f>VLOOKUP(G498,Departments!A497:C502,3,0)</f>
        <v>#N/A</v>
      </c>
      <c r="O498" s="13" t="e">
        <f>INDEX(Departments!C497:C502,MATCH(Employees!G498,Departments!A497:A502,0))</f>
        <v>#N/A</v>
      </c>
    </row>
    <row r="499" spans="1:15" x14ac:dyDescent="0.35">
      <c r="A499" s="7" t="s">
        <v>1531</v>
      </c>
      <c r="B499" s="7" t="s">
        <v>126</v>
      </c>
      <c r="C499" s="7" t="s">
        <v>97</v>
      </c>
      <c r="D499" s="8" t="str">
        <f t="shared" si="7"/>
        <v>PRIYA SINGH</v>
      </c>
      <c r="E499" s="7" t="s">
        <v>57</v>
      </c>
      <c r="F499" s="7">
        <v>26</v>
      </c>
      <c r="G499" s="7" t="s">
        <v>50</v>
      </c>
      <c r="H499" s="7" t="s">
        <v>65</v>
      </c>
      <c r="I499" s="7" t="s">
        <v>1532</v>
      </c>
      <c r="J499" s="7">
        <v>41274</v>
      </c>
      <c r="K499" s="7" t="s">
        <v>37</v>
      </c>
      <c r="L499" s="7" t="s">
        <v>1533</v>
      </c>
      <c r="M499" s="7" t="s">
        <v>73</v>
      </c>
      <c r="N499" s="10" t="e">
        <f>VLOOKUP(G499,Departments!A498:C503,3,0)</f>
        <v>#N/A</v>
      </c>
      <c r="O499" s="13" t="e">
        <f>INDEX(Departments!C498:C503,MATCH(Employees!G499,Departments!A498:A503,0))</f>
        <v>#N/A</v>
      </c>
    </row>
    <row r="500" spans="1:15" x14ac:dyDescent="0.35">
      <c r="A500" s="6" t="s">
        <v>1534</v>
      </c>
      <c r="B500" s="6" t="s">
        <v>75</v>
      </c>
      <c r="C500" s="6" t="s">
        <v>115</v>
      </c>
      <c r="D500" s="8" t="str">
        <f t="shared" si="7"/>
        <v>DAVID SEN</v>
      </c>
      <c r="E500" s="6" t="s">
        <v>57</v>
      </c>
      <c r="F500" s="6">
        <v>40</v>
      </c>
      <c r="G500" s="6" t="s">
        <v>51</v>
      </c>
      <c r="H500" s="6" t="s">
        <v>76</v>
      </c>
      <c r="I500" s="6" t="s">
        <v>1535</v>
      </c>
      <c r="J500" s="6">
        <v>40450</v>
      </c>
      <c r="K500" s="6" t="s">
        <v>37</v>
      </c>
      <c r="L500" s="6" t="s">
        <v>1536</v>
      </c>
      <c r="M500" s="6" t="s">
        <v>61</v>
      </c>
      <c r="N500" s="10" t="e">
        <f>VLOOKUP(G500,Departments!A499:C504,3,0)</f>
        <v>#N/A</v>
      </c>
      <c r="O500" s="13" t="e">
        <f>INDEX(Departments!C499:C504,MATCH(Employees!G500,Departments!A499:A504,0))</f>
        <v>#N/A</v>
      </c>
    </row>
    <row r="501" spans="1:15" x14ac:dyDescent="0.35">
      <c r="A501" s="7" t="s">
        <v>1537</v>
      </c>
      <c r="B501" s="7" t="s">
        <v>75</v>
      </c>
      <c r="C501" s="7" t="s">
        <v>97</v>
      </c>
      <c r="D501" s="8" t="str">
        <f t="shared" si="7"/>
        <v>DAVID SINGH</v>
      </c>
      <c r="E501" s="7" t="s">
        <v>64</v>
      </c>
      <c r="F501" s="7">
        <v>58</v>
      </c>
      <c r="G501" s="7" t="s">
        <v>53</v>
      </c>
      <c r="H501" s="7" t="s">
        <v>65</v>
      </c>
      <c r="I501" s="7" t="s">
        <v>1538</v>
      </c>
      <c r="J501" s="7">
        <v>42662</v>
      </c>
      <c r="K501" s="7" t="s">
        <v>28</v>
      </c>
      <c r="L501" s="7" t="s">
        <v>1539</v>
      </c>
      <c r="M501" s="7" t="s">
        <v>61</v>
      </c>
      <c r="N501" s="10" t="e">
        <f>VLOOKUP(G501,Departments!A500:C505,3,0)</f>
        <v>#N/A</v>
      </c>
      <c r="O501" s="13" t="e">
        <f>INDEX(Departments!C500:C505,MATCH(Employees!G501,Departments!A500:A505,0))</f>
        <v>#N/A</v>
      </c>
    </row>
  </sheetData>
  <conditionalFormatting sqref="A1:O1 A2:M501">
    <cfRule type="cellIs" dxfId="0" priority="1" operator="equal">
      <formula>"Active"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C2985-8286-4D5A-87FF-F37ABCDC6B9C}">
  <dimension ref="A1:C6"/>
  <sheetViews>
    <sheetView workbookViewId="0">
      <selection activeCell="C1" sqref="C1"/>
    </sheetView>
  </sheetViews>
  <sheetFormatPr defaultRowHeight="14.5" x14ac:dyDescent="0.35"/>
  <sheetData>
    <row r="1" spans="1:3" x14ac:dyDescent="0.35">
      <c r="A1" s="5" t="s">
        <v>1559</v>
      </c>
      <c r="B1" s="5" t="s">
        <v>1585</v>
      </c>
      <c r="C1" s="5" t="s">
        <v>76</v>
      </c>
    </row>
    <row r="2" spans="1:3" x14ac:dyDescent="0.35">
      <c r="A2" s="6" t="s">
        <v>49</v>
      </c>
      <c r="B2" s="6" t="s">
        <v>1540</v>
      </c>
      <c r="C2" s="6" t="s">
        <v>1541</v>
      </c>
    </row>
    <row r="3" spans="1:3" x14ac:dyDescent="0.35">
      <c r="A3" s="7" t="s">
        <v>50</v>
      </c>
      <c r="B3" s="7" t="s">
        <v>1542</v>
      </c>
      <c r="C3" s="7" t="s">
        <v>1543</v>
      </c>
    </row>
    <row r="4" spans="1:3" x14ac:dyDescent="0.35">
      <c r="A4" s="6" t="s">
        <v>51</v>
      </c>
      <c r="B4" s="6" t="s">
        <v>1544</v>
      </c>
      <c r="C4" s="6" t="s">
        <v>1545</v>
      </c>
    </row>
    <row r="5" spans="1:3" x14ac:dyDescent="0.35">
      <c r="A5" s="7" t="s">
        <v>52</v>
      </c>
      <c r="B5" s="7" t="s">
        <v>1546</v>
      </c>
      <c r="C5" s="7" t="s">
        <v>1547</v>
      </c>
    </row>
    <row r="6" spans="1:3" x14ac:dyDescent="0.35">
      <c r="A6" s="6" t="s">
        <v>53</v>
      </c>
      <c r="B6" s="6" t="s">
        <v>1548</v>
      </c>
      <c r="C6" s="6" t="s">
        <v>1549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9ACC7-56D3-4AC1-9D04-3D236008CA97}">
  <dimension ref="A1:E501"/>
  <sheetViews>
    <sheetView workbookViewId="0">
      <selection sqref="A1:E501"/>
    </sheetView>
  </sheetViews>
  <sheetFormatPr defaultRowHeight="14.5" x14ac:dyDescent="0.35"/>
  <sheetData>
    <row r="1" spans="1:5" x14ac:dyDescent="0.35">
      <c r="A1" s="1" t="s">
        <v>1550</v>
      </c>
      <c r="B1" s="1" t="s">
        <v>1551</v>
      </c>
      <c r="C1" s="1" t="s">
        <v>1552</v>
      </c>
      <c r="D1" s="1" t="s">
        <v>1553</v>
      </c>
      <c r="E1" s="1" t="s">
        <v>1554</v>
      </c>
    </row>
    <row r="2" spans="1:5" x14ac:dyDescent="0.35">
      <c r="A2" s="2" t="s">
        <v>54</v>
      </c>
      <c r="B2" s="2">
        <v>2026</v>
      </c>
      <c r="C2" s="2">
        <v>1</v>
      </c>
      <c r="D2" s="2">
        <v>4</v>
      </c>
      <c r="E2" s="2">
        <v>2</v>
      </c>
    </row>
    <row r="3" spans="1:5" x14ac:dyDescent="0.35">
      <c r="A3" s="2" t="s">
        <v>62</v>
      </c>
      <c r="B3" s="2">
        <v>2026</v>
      </c>
      <c r="C3" s="2">
        <v>4</v>
      </c>
      <c r="D3" s="2">
        <v>5</v>
      </c>
      <c r="E3" s="2">
        <v>7</v>
      </c>
    </row>
    <row r="4" spans="1:5" x14ac:dyDescent="0.35">
      <c r="A4" s="2" t="s">
        <v>68</v>
      </c>
      <c r="B4" s="2">
        <v>2026</v>
      </c>
      <c r="C4" s="2">
        <v>2</v>
      </c>
      <c r="D4" s="2">
        <v>29</v>
      </c>
      <c r="E4" s="2">
        <v>5</v>
      </c>
    </row>
    <row r="5" spans="1:5" x14ac:dyDescent="0.35">
      <c r="A5" s="2" t="s">
        <v>74</v>
      </c>
      <c r="B5" s="2">
        <v>2026</v>
      </c>
      <c r="C5" s="2">
        <v>4</v>
      </c>
      <c r="D5" s="2">
        <v>18</v>
      </c>
      <c r="E5" s="2">
        <v>6</v>
      </c>
    </row>
    <row r="6" spans="1:5" x14ac:dyDescent="0.35">
      <c r="A6" s="2" t="s">
        <v>79</v>
      </c>
      <c r="B6" s="2">
        <v>2026</v>
      </c>
      <c r="C6" s="2">
        <v>2</v>
      </c>
      <c r="D6" s="2">
        <v>48</v>
      </c>
      <c r="E6" s="2">
        <v>2</v>
      </c>
    </row>
    <row r="7" spans="1:5" x14ac:dyDescent="0.35">
      <c r="A7" s="2" t="s">
        <v>84</v>
      </c>
      <c r="B7" s="2">
        <v>2026</v>
      </c>
      <c r="C7" s="2">
        <v>3</v>
      </c>
      <c r="D7" s="2">
        <v>14</v>
      </c>
      <c r="E7" s="2">
        <v>5</v>
      </c>
    </row>
    <row r="8" spans="1:5" x14ac:dyDescent="0.35">
      <c r="A8" s="2" t="s">
        <v>88</v>
      </c>
      <c r="B8" s="2">
        <v>2026</v>
      </c>
      <c r="C8" s="2">
        <v>2</v>
      </c>
      <c r="D8" s="2">
        <v>19</v>
      </c>
      <c r="E8" s="2">
        <v>3</v>
      </c>
    </row>
    <row r="9" spans="1:5" x14ac:dyDescent="0.35">
      <c r="A9" s="2" t="s">
        <v>92</v>
      </c>
      <c r="B9" s="2">
        <v>2026</v>
      </c>
      <c r="C9" s="2">
        <v>1</v>
      </c>
      <c r="D9" s="2">
        <v>4</v>
      </c>
      <c r="E9" s="2">
        <v>2</v>
      </c>
    </row>
    <row r="10" spans="1:5" x14ac:dyDescent="0.35">
      <c r="A10" s="2" t="s">
        <v>96</v>
      </c>
      <c r="B10" s="2">
        <v>2026</v>
      </c>
      <c r="C10" s="2">
        <v>4</v>
      </c>
      <c r="D10" s="2">
        <v>59</v>
      </c>
      <c r="E10" s="2">
        <v>0</v>
      </c>
    </row>
    <row r="11" spans="1:5" x14ac:dyDescent="0.35">
      <c r="A11" s="2" t="s">
        <v>100</v>
      </c>
      <c r="B11" s="2">
        <v>2026</v>
      </c>
      <c r="C11" s="2">
        <v>5</v>
      </c>
      <c r="D11" s="2">
        <v>27</v>
      </c>
      <c r="E11" s="2">
        <v>2</v>
      </c>
    </row>
    <row r="12" spans="1:5" x14ac:dyDescent="0.35">
      <c r="A12" s="2" t="s">
        <v>103</v>
      </c>
      <c r="B12" s="2">
        <v>2026</v>
      </c>
      <c r="C12" s="2">
        <v>3</v>
      </c>
      <c r="D12" s="2">
        <v>42</v>
      </c>
      <c r="E12" s="2">
        <v>3</v>
      </c>
    </row>
    <row r="13" spans="1:5" x14ac:dyDescent="0.35">
      <c r="A13" s="2" t="s">
        <v>107</v>
      </c>
      <c r="B13" s="2">
        <v>2026</v>
      </c>
      <c r="C13" s="2">
        <v>2</v>
      </c>
      <c r="D13" s="2">
        <v>59</v>
      </c>
      <c r="E13" s="2">
        <v>3</v>
      </c>
    </row>
    <row r="14" spans="1:5" x14ac:dyDescent="0.35">
      <c r="A14" s="2" t="s">
        <v>110</v>
      </c>
      <c r="B14" s="2">
        <v>2026</v>
      </c>
      <c r="C14" s="2">
        <v>3</v>
      </c>
      <c r="D14" s="2">
        <v>14</v>
      </c>
      <c r="E14" s="2">
        <v>0</v>
      </c>
    </row>
    <row r="15" spans="1:5" x14ac:dyDescent="0.35">
      <c r="A15" s="2" t="s">
        <v>114</v>
      </c>
      <c r="B15" s="2">
        <v>2026</v>
      </c>
      <c r="C15" s="2">
        <v>2</v>
      </c>
      <c r="D15" s="2">
        <v>2</v>
      </c>
      <c r="E15" s="2">
        <v>12</v>
      </c>
    </row>
    <row r="16" spans="1:5" x14ac:dyDescent="0.35">
      <c r="A16" s="2" t="s">
        <v>118</v>
      </c>
      <c r="B16" s="2">
        <v>2026</v>
      </c>
      <c r="C16" s="2">
        <v>4</v>
      </c>
      <c r="D16" s="2">
        <v>60</v>
      </c>
      <c r="E16" s="2">
        <v>2</v>
      </c>
    </row>
    <row r="17" spans="1:5" x14ac:dyDescent="0.35">
      <c r="A17" s="2" t="s">
        <v>121</v>
      </c>
      <c r="B17" s="2">
        <v>2026</v>
      </c>
      <c r="C17" s="2">
        <v>2</v>
      </c>
      <c r="D17" s="2">
        <v>39</v>
      </c>
      <c r="E17" s="2">
        <v>1</v>
      </c>
    </row>
    <row r="18" spans="1:5" x14ac:dyDescent="0.35">
      <c r="A18" s="2" t="s">
        <v>125</v>
      </c>
      <c r="B18" s="2">
        <v>2026</v>
      </c>
      <c r="C18" s="2">
        <v>1</v>
      </c>
      <c r="D18" s="2">
        <v>60</v>
      </c>
      <c r="E18" s="2">
        <v>12</v>
      </c>
    </row>
    <row r="19" spans="1:5" x14ac:dyDescent="0.35">
      <c r="A19" s="2" t="s">
        <v>130</v>
      </c>
      <c r="B19" s="2">
        <v>2026</v>
      </c>
      <c r="C19" s="2">
        <v>4</v>
      </c>
      <c r="D19" s="2">
        <v>14</v>
      </c>
      <c r="E19" s="2">
        <v>8</v>
      </c>
    </row>
    <row r="20" spans="1:5" x14ac:dyDescent="0.35">
      <c r="A20" s="2" t="s">
        <v>133</v>
      </c>
      <c r="B20" s="2">
        <v>2026</v>
      </c>
      <c r="C20" s="2">
        <v>5</v>
      </c>
      <c r="D20" s="2">
        <v>43</v>
      </c>
      <c r="E20" s="2">
        <v>10</v>
      </c>
    </row>
    <row r="21" spans="1:5" x14ac:dyDescent="0.35">
      <c r="A21" s="2" t="s">
        <v>136</v>
      </c>
      <c r="B21" s="2">
        <v>2026</v>
      </c>
      <c r="C21" s="2">
        <v>5</v>
      </c>
      <c r="D21" s="2">
        <v>45</v>
      </c>
      <c r="E21" s="2">
        <v>8</v>
      </c>
    </row>
    <row r="22" spans="1:5" x14ac:dyDescent="0.35">
      <c r="A22" s="2" t="s">
        <v>139</v>
      </c>
      <c r="B22" s="2">
        <v>2026</v>
      </c>
      <c r="C22" s="2">
        <v>1</v>
      </c>
      <c r="D22" s="2">
        <v>1</v>
      </c>
      <c r="E22" s="2">
        <v>7</v>
      </c>
    </row>
    <row r="23" spans="1:5" x14ac:dyDescent="0.35">
      <c r="A23" s="2" t="s">
        <v>143</v>
      </c>
      <c r="B23" s="2">
        <v>2026</v>
      </c>
      <c r="C23" s="2">
        <v>5</v>
      </c>
      <c r="D23" s="2">
        <v>45</v>
      </c>
      <c r="E23" s="2">
        <v>8</v>
      </c>
    </row>
    <row r="24" spans="1:5" x14ac:dyDescent="0.35">
      <c r="A24" s="2" t="s">
        <v>146</v>
      </c>
      <c r="B24" s="2">
        <v>2026</v>
      </c>
      <c r="C24" s="2">
        <v>3</v>
      </c>
      <c r="D24" s="2">
        <v>16</v>
      </c>
      <c r="E24" s="2">
        <v>3</v>
      </c>
    </row>
    <row r="25" spans="1:5" x14ac:dyDescent="0.35">
      <c r="A25" s="2" t="s">
        <v>149</v>
      </c>
      <c r="B25" s="2">
        <v>2026</v>
      </c>
      <c r="C25" s="2">
        <v>4</v>
      </c>
      <c r="D25" s="2">
        <v>34</v>
      </c>
      <c r="E25" s="2">
        <v>0</v>
      </c>
    </row>
    <row r="26" spans="1:5" x14ac:dyDescent="0.35">
      <c r="A26" s="2" t="s">
        <v>152</v>
      </c>
      <c r="B26" s="2">
        <v>2026</v>
      </c>
      <c r="C26" s="2">
        <v>4</v>
      </c>
      <c r="D26" s="2">
        <v>3</v>
      </c>
      <c r="E26" s="2">
        <v>1</v>
      </c>
    </row>
    <row r="27" spans="1:5" x14ac:dyDescent="0.35">
      <c r="A27" s="2" t="s">
        <v>155</v>
      </c>
      <c r="B27" s="2">
        <v>2026</v>
      </c>
      <c r="C27" s="2">
        <v>1</v>
      </c>
      <c r="D27" s="2">
        <v>12</v>
      </c>
      <c r="E27" s="2">
        <v>0</v>
      </c>
    </row>
    <row r="28" spans="1:5" x14ac:dyDescent="0.35">
      <c r="A28" s="2" t="s">
        <v>158</v>
      </c>
      <c r="B28" s="2">
        <v>2026</v>
      </c>
      <c r="C28" s="2">
        <v>1</v>
      </c>
      <c r="D28" s="2">
        <v>38</v>
      </c>
      <c r="E28" s="2">
        <v>8</v>
      </c>
    </row>
    <row r="29" spans="1:5" x14ac:dyDescent="0.35">
      <c r="A29" s="2" t="s">
        <v>161</v>
      </c>
      <c r="B29" s="2">
        <v>2026</v>
      </c>
      <c r="C29" s="2">
        <v>4</v>
      </c>
      <c r="D29" s="2">
        <v>32</v>
      </c>
      <c r="E29" s="2">
        <v>3</v>
      </c>
    </row>
    <row r="30" spans="1:5" x14ac:dyDescent="0.35">
      <c r="A30" s="2" t="s">
        <v>165</v>
      </c>
      <c r="B30" s="2">
        <v>2026</v>
      </c>
      <c r="C30" s="2">
        <v>5</v>
      </c>
      <c r="D30" s="2">
        <v>17</v>
      </c>
      <c r="E30" s="2">
        <v>9</v>
      </c>
    </row>
    <row r="31" spans="1:5" x14ac:dyDescent="0.35">
      <c r="A31" s="2" t="s">
        <v>168</v>
      </c>
      <c r="B31" s="2">
        <v>2026</v>
      </c>
      <c r="C31" s="2">
        <v>2</v>
      </c>
      <c r="D31" s="2">
        <v>25</v>
      </c>
      <c r="E31" s="2">
        <v>12</v>
      </c>
    </row>
    <row r="32" spans="1:5" x14ac:dyDescent="0.35">
      <c r="A32" s="2" t="s">
        <v>171</v>
      </c>
      <c r="B32" s="2">
        <v>2026</v>
      </c>
      <c r="C32" s="2">
        <v>1</v>
      </c>
      <c r="D32" s="2">
        <v>37</v>
      </c>
      <c r="E32" s="2">
        <v>11</v>
      </c>
    </row>
    <row r="33" spans="1:5" x14ac:dyDescent="0.35">
      <c r="A33" s="2" t="s">
        <v>174</v>
      </c>
      <c r="B33" s="2">
        <v>2026</v>
      </c>
      <c r="C33" s="2">
        <v>4</v>
      </c>
      <c r="D33" s="2">
        <v>9</v>
      </c>
      <c r="E33" s="2">
        <v>11</v>
      </c>
    </row>
    <row r="34" spans="1:5" x14ac:dyDescent="0.35">
      <c r="A34" s="2" t="s">
        <v>178</v>
      </c>
      <c r="B34" s="2">
        <v>2026</v>
      </c>
      <c r="C34" s="2">
        <v>5</v>
      </c>
      <c r="D34" s="2">
        <v>56</v>
      </c>
      <c r="E34" s="2">
        <v>9</v>
      </c>
    </row>
    <row r="35" spans="1:5" x14ac:dyDescent="0.35">
      <c r="A35" s="2" t="s">
        <v>181</v>
      </c>
      <c r="B35" s="2">
        <v>2026</v>
      </c>
      <c r="C35" s="2">
        <v>1</v>
      </c>
      <c r="D35" s="2">
        <v>31</v>
      </c>
      <c r="E35" s="2">
        <v>8</v>
      </c>
    </row>
    <row r="36" spans="1:5" x14ac:dyDescent="0.35">
      <c r="A36" s="2" t="s">
        <v>184</v>
      </c>
      <c r="B36" s="2">
        <v>2026</v>
      </c>
      <c r="C36" s="2">
        <v>5</v>
      </c>
      <c r="D36" s="2">
        <v>25</v>
      </c>
      <c r="E36" s="2">
        <v>3</v>
      </c>
    </row>
    <row r="37" spans="1:5" x14ac:dyDescent="0.35">
      <c r="A37" s="2" t="s">
        <v>187</v>
      </c>
      <c r="B37" s="2">
        <v>2026</v>
      </c>
      <c r="C37" s="2">
        <v>1</v>
      </c>
      <c r="D37" s="2">
        <v>58</v>
      </c>
      <c r="E37" s="2">
        <v>11</v>
      </c>
    </row>
    <row r="38" spans="1:5" x14ac:dyDescent="0.35">
      <c r="A38" s="2" t="s">
        <v>190</v>
      </c>
      <c r="B38" s="2">
        <v>2026</v>
      </c>
      <c r="C38" s="2">
        <v>4</v>
      </c>
      <c r="D38" s="2">
        <v>25</v>
      </c>
      <c r="E38" s="2">
        <v>10</v>
      </c>
    </row>
    <row r="39" spans="1:5" x14ac:dyDescent="0.35">
      <c r="A39" s="2" t="s">
        <v>193</v>
      </c>
      <c r="B39" s="2">
        <v>2026</v>
      </c>
      <c r="C39" s="2">
        <v>4</v>
      </c>
      <c r="D39" s="2">
        <v>41</v>
      </c>
      <c r="E39" s="2">
        <v>4</v>
      </c>
    </row>
    <row r="40" spans="1:5" x14ac:dyDescent="0.35">
      <c r="A40" s="2" t="s">
        <v>196</v>
      </c>
      <c r="B40" s="2">
        <v>2026</v>
      </c>
      <c r="C40" s="2">
        <v>3</v>
      </c>
      <c r="D40" s="2">
        <v>7</v>
      </c>
      <c r="E40" s="2">
        <v>9</v>
      </c>
    </row>
    <row r="41" spans="1:5" x14ac:dyDescent="0.35">
      <c r="A41" s="2" t="s">
        <v>200</v>
      </c>
      <c r="B41" s="2">
        <v>2026</v>
      </c>
      <c r="C41" s="2">
        <v>2</v>
      </c>
      <c r="D41" s="2">
        <v>14</v>
      </c>
      <c r="E41" s="2">
        <v>3</v>
      </c>
    </row>
    <row r="42" spans="1:5" x14ac:dyDescent="0.35">
      <c r="A42" s="2" t="s">
        <v>203</v>
      </c>
      <c r="B42" s="2">
        <v>2026</v>
      </c>
      <c r="C42" s="2">
        <v>4</v>
      </c>
      <c r="D42" s="2">
        <v>49</v>
      </c>
      <c r="E42" s="2">
        <v>12</v>
      </c>
    </row>
    <row r="43" spans="1:5" x14ac:dyDescent="0.35">
      <c r="A43" s="2" t="s">
        <v>206</v>
      </c>
      <c r="B43" s="2">
        <v>2026</v>
      </c>
      <c r="C43" s="2">
        <v>3</v>
      </c>
      <c r="D43" s="2">
        <v>11</v>
      </c>
      <c r="E43" s="2">
        <v>11</v>
      </c>
    </row>
    <row r="44" spans="1:5" x14ac:dyDescent="0.35">
      <c r="A44" s="2" t="s">
        <v>209</v>
      </c>
      <c r="B44" s="2">
        <v>2026</v>
      </c>
      <c r="C44" s="2">
        <v>5</v>
      </c>
      <c r="D44" s="2">
        <v>42</v>
      </c>
      <c r="E44" s="2">
        <v>7</v>
      </c>
    </row>
    <row r="45" spans="1:5" x14ac:dyDescent="0.35">
      <c r="A45" s="2" t="s">
        <v>212</v>
      </c>
      <c r="B45" s="2">
        <v>2026</v>
      </c>
      <c r="C45" s="2">
        <v>3</v>
      </c>
      <c r="D45" s="2">
        <v>49</v>
      </c>
      <c r="E45" s="2">
        <v>8</v>
      </c>
    </row>
    <row r="46" spans="1:5" x14ac:dyDescent="0.35">
      <c r="A46" s="2" t="s">
        <v>215</v>
      </c>
      <c r="B46" s="2">
        <v>2026</v>
      </c>
      <c r="C46" s="2">
        <v>1</v>
      </c>
      <c r="D46" s="2">
        <v>27</v>
      </c>
      <c r="E46" s="2">
        <v>9</v>
      </c>
    </row>
    <row r="47" spans="1:5" x14ac:dyDescent="0.35">
      <c r="A47" s="2" t="s">
        <v>218</v>
      </c>
      <c r="B47" s="2">
        <v>2026</v>
      </c>
      <c r="C47" s="2">
        <v>4</v>
      </c>
      <c r="D47" s="2">
        <v>34</v>
      </c>
      <c r="E47" s="2">
        <v>1</v>
      </c>
    </row>
    <row r="48" spans="1:5" x14ac:dyDescent="0.35">
      <c r="A48" s="2" t="s">
        <v>221</v>
      </c>
      <c r="B48" s="2">
        <v>2026</v>
      </c>
      <c r="C48" s="2">
        <v>5</v>
      </c>
      <c r="D48" s="2">
        <v>8</v>
      </c>
      <c r="E48" s="2">
        <v>3</v>
      </c>
    </row>
    <row r="49" spans="1:5" x14ac:dyDescent="0.35">
      <c r="A49" s="2" t="s">
        <v>224</v>
      </c>
      <c r="B49" s="2">
        <v>2026</v>
      </c>
      <c r="C49" s="2">
        <v>5</v>
      </c>
      <c r="D49" s="2">
        <v>58</v>
      </c>
      <c r="E49" s="2">
        <v>1</v>
      </c>
    </row>
    <row r="50" spans="1:5" x14ac:dyDescent="0.35">
      <c r="A50" s="2" t="s">
        <v>227</v>
      </c>
      <c r="B50" s="2">
        <v>2026</v>
      </c>
      <c r="C50" s="2">
        <v>2</v>
      </c>
      <c r="D50" s="2">
        <v>11</v>
      </c>
      <c r="E50" s="2">
        <v>6</v>
      </c>
    </row>
    <row r="51" spans="1:5" x14ac:dyDescent="0.35">
      <c r="A51" s="2" t="s">
        <v>230</v>
      </c>
      <c r="B51" s="2">
        <v>2026</v>
      </c>
      <c r="C51" s="2">
        <v>1</v>
      </c>
      <c r="D51" s="2">
        <v>12</v>
      </c>
      <c r="E51" s="2">
        <v>4</v>
      </c>
    </row>
    <row r="52" spans="1:5" x14ac:dyDescent="0.35">
      <c r="A52" s="2" t="s">
        <v>232</v>
      </c>
      <c r="B52" s="2">
        <v>2026</v>
      </c>
      <c r="C52" s="2">
        <v>5</v>
      </c>
      <c r="D52" s="2">
        <v>54</v>
      </c>
      <c r="E52" s="2">
        <v>5</v>
      </c>
    </row>
    <row r="53" spans="1:5" x14ac:dyDescent="0.35">
      <c r="A53" s="2" t="s">
        <v>235</v>
      </c>
      <c r="B53" s="2">
        <v>2026</v>
      </c>
      <c r="C53" s="2">
        <v>4</v>
      </c>
      <c r="D53" s="2">
        <v>38</v>
      </c>
      <c r="E53" s="2">
        <v>4</v>
      </c>
    </row>
    <row r="54" spans="1:5" x14ac:dyDescent="0.35">
      <c r="A54" s="2" t="s">
        <v>238</v>
      </c>
      <c r="B54" s="2">
        <v>2026</v>
      </c>
      <c r="C54" s="2">
        <v>4</v>
      </c>
      <c r="D54" s="2">
        <v>47</v>
      </c>
      <c r="E54" s="2">
        <v>1</v>
      </c>
    </row>
    <row r="55" spans="1:5" x14ac:dyDescent="0.35">
      <c r="A55" s="2" t="s">
        <v>241</v>
      </c>
      <c r="B55" s="2">
        <v>2026</v>
      </c>
      <c r="C55" s="2">
        <v>2</v>
      </c>
      <c r="D55" s="2">
        <v>41</v>
      </c>
      <c r="E55" s="2">
        <v>5</v>
      </c>
    </row>
    <row r="56" spans="1:5" x14ac:dyDescent="0.35">
      <c r="A56" s="2" t="s">
        <v>244</v>
      </c>
      <c r="B56" s="2">
        <v>2026</v>
      </c>
      <c r="C56" s="2">
        <v>1</v>
      </c>
      <c r="D56" s="2">
        <v>59</v>
      </c>
      <c r="E56" s="2">
        <v>8</v>
      </c>
    </row>
    <row r="57" spans="1:5" x14ac:dyDescent="0.35">
      <c r="A57" s="2" t="s">
        <v>247</v>
      </c>
      <c r="B57" s="2">
        <v>2026</v>
      </c>
      <c r="C57" s="2">
        <v>3</v>
      </c>
      <c r="D57" s="2">
        <v>13</v>
      </c>
      <c r="E57" s="2">
        <v>12</v>
      </c>
    </row>
    <row r="58" spans="1:5" x14ac:dyDescent="0.35">
      <c r="A58" s="2" t="s">
        <v>250</v>
      </c>
      <c r="B58" s="2">
        <v>2026</v>
      </c>
      <c r="C58" s="2">
        <v>4</v>
      </c>
      <c r="D58" s="2">
        <v>22</v>
      </c>
      <c r="E58" s="2">
        <v>9</v>
      </c>
    </row>
    <row r="59" spans="1:5" x14ac:dyDescent="0.35">
      <c r="A59" s="2" t="s">
        <v>253</v>
      </c>
      <c r="B59" s="2">
        <v>2026</v>
      </c>
      <c r="C59" s="2">
        <v>2</v>
      </c>
      <c r="D59" s="2">
        <v>5</v>
      </c>
      <c r="E59" s="2">
        <v>4</v>
      </c>
    </row>
    <row r="60" spans="1:5" x14ac:dyDescent="0.35">
      <c r="A60" s="2" t="s">
        <v>256</v>
      </c>
      <c r="B60" s="2">
        <v>2026</v>
      </c>
      <c r="C60" s="2">
        <v>3</v>
      </c>
      <c r="D60" s="2">
        <v>38</v>
      </c>
      <c r="E60" s="2">
        <v>0</v>
      </c>
    </row>
    <row r="61" spans="1:5" x14ac:dyDescent="0.35">
      <c r="A61" s="2" t="s">
        <v>259</v>
      </c>
      <c r="B61" s="2">
        <v>2026</v>
      </c>
      <c r="C61" s="2">
        <v>3</v>
      </c>
      <c r="D61" s="2">
        <v>50</v>
      </c>
      <c r="E61" s="2">
        <v>5</v>
      </c>
    </row>
    <row r="62" spans="1:5" x14ac:dyDescent="0.35">
      <c r="A62" s="2" t="s">
        <v>262</v>
      </c>
      <c r="B62" s="2">
        <v>2026</v>
      </c>
      <c r="C62" s="2">
        <v>4</v>
      </c>
      <c r="D62" s="2">
        <v>2</v>
      </c>
      <c r="E62" s="2">
        <v>3</v>
      </c>
    </row>
    <row r="63" spans="1:5" x14ac:dyDescent="0.35">
      <c r="A63" s="2" t="s">
        <v>265</v>
      </c>
      <c r="B63" s="2">
        <v>2026</v>
      </c>
      <c r="C63" s="2">
        <v>5</v>
      </c>
      <c r="D63" s="2">
        <v>38</v>
      </c>
      <c r="E63" s="2">
        <v>12</v>
      </c>
    </row>
    <row r="64" spans="1:5" x14ac:dyDescent="0.35">
      <c r="A64" s="2" t="s">
        <v>268</v>
      </c>
      <c r="B64" s="2">
        <v>2026</v>
      </c>
      <c r="C64" s="2">
        <v>1</v>
      </c>
      <c r="D64" s="2">
        <v>41</v>
      </c>
      <c r="E64" s="2">
        <v>1</v>
      </c>
    </row>
    <row r="65" spans="1:5" x14ac:dyDescent="0.35">
      <c r="A65" s="2" t="s">
        <v>271</v>
      </c>
      <c r="B65" s="2">
        <v>2026</v>
      </c>
      <c r="C65" s="2">
        <v>3</v>
      </c>
      <c r="D65" s="2">
        <v>12</v>
      </c>
      <c r="E65" s="2">
        <v>10</v>
      </c>
    </row>
    <row r="66" spans="1:5" x14ac:dyDescent="0.35">
      <c r="A66" s="2" t="s">
        <v>274</v>
      </c>
      <c r="B66" s="2">
        <v>2026</v>
      </c>
      <c r="C66" s="2">
        <v>3</v>
      </c>
      <c r="D66" s="2">
        <v>21</v>
      </c>
      <c r="E66" s="2">
        <v>11</v>
      </c>
    </row>
    <row r="67" spans="1:5" x14ac:dyDescent="0.35">
      <c r="A67" s="2" t="s">
        <v>277</v>
      </c>
      <c r="B67" s="2">
        <v>2026</v>
      </c>
      <c r="C67" s="2">
        <v>5</v>
      </c>
      <c r="D67" s="2">
        <v>7</v>
      </c>
      <c r="E67" s="2">
        <v>11</v>
      </c>
    </row>
    <row r="68" spans="1:5" x14ac:dyDescent="0.35">
      <c r="A68" s="2" t="s">
        <v>280</v>
      </c>
      <c r="B68" s="2">
        <v>2026</v>
      </c>
      <c r="C68" s="2">
        <v>3</v>
      </c>
      <c r="D68" s="2">
        <v>7</v>
      </c>
      <c r="E68" s="2">
        <v>5</v>
      </c>
    </row>
    <row r="69" spans="1:5" x14ac:dyDescent="0.35">
      <c r="A69" s="2" t="s">
        <v>283</v>
      </c>
      <c r="B69" s="2">
        <v>2026</v>
      </c>
      <c r="C69" s="2">
        <v>2</v>
      </c>
      <c r="D69" s="2">
        <v>42</v>
      </c>
      <c r="E69" s="2">
        <v>12</v>
      </c>
    </row>
    <row r="70" spans="1:5" x14ac:dyDescent="0.35">
      <c r="A70" s="2" t="s">
        <v>286</v>
      </c>
      <c r="B70" s="2">
        <v>2026</v>
      </c>
      <c r="C70" s="2">
        <v>4</v>
      </c>
      <c r="D70" s="2">
        <v>11</v>
      </c>
      <c r="E70" s="2">
        <v>5</v>
      </c>
    </row>
    <row r="71" spans="1:5" x14ac:dyDescent="0.35">
      <c r="A71" s="2" t="s">
        <v>289</v>
      </c>
      <c r="B71" s="2">
        <v>2026</v>
      </c>
      <c r="C71" s="2">
        <v>4</v>
      </c>
      <c r="D71" s="2">
        <v>6</v>
      </c>
      <c r="E71" s="2">
        <v>7</v>
      </c>
    </row>
    <row r="72" spans="1:5" x14ac:dyDescent="0.35">
      <c r="A72" s="2" t="s">
        <v>292</v>
      </c>
      <c r="B72" s="2">
        <v>2026</v>
      </c>
      <c r="C72" s="2">
        <v>2</v>
      </c>
      <c r="D72" s="2">
        <v>6</v>
      </c>
      <c r="E72" s="2">
        <v>0</v>
      </c>
    </row>
    <row r="73" spans="1:5" x14ac:dyDescent="0.35">
      <c r="A73" s="2" t="s">
        <v>295</v>
      </c>
      <c r="B73" s="2">
        <v>2026</v>
      </c>
      <c r="C73" s="2">
        <v>4</v>
      </c>
      <c r="D73" s="2">
        <v>38</v>
      </c>
      <c r="E73" s="2">
        <v>6</v>
      </c>
    </row>
    <row r="74" spans="1:5" x14ac:dyDescent="0.35">
      <c r="A74" s="2" t="s">
        <v>298</v>
      </c>
      <c r="B74" s="2">
        <v>2026</v>
      </c>
      <c r="C74" s="2">
        <v>3</v>
      </c>
      <c r="D74" s="2">
        <v>37</v>
      </c>
      <c r="E74" s="2">
        <v>2</v>
      </c>
    </row>
    <row r="75" spans="1:5" x14ac:dyDescent="0.35">
      <c r="A75" s="2" t="s">
        <v>301</v>
      </c>
      <c r="B75" s="2">
        <v>2026</v>
      </c>
      <c r="C75" s="2">
        <v>3</v>
      </c>
      <c r="D75" s="2">
        <v>1</v>
      </c>
      <c r="E75" s="2">
        <v>6</v>
      </c>
    </row>
    <row r="76" spans="1:5" x14ac:dyDescent="0.35">
      <c r="A76" s="2" t="s">
        <v>304</v>
      </c>
      <c r="B76" s="2">
        <v>2026</v>
      </c>
      <c r="C76" s="2">
        <v>5</v>
      </c>
      <c r="D76" s="2">
        <v>9</v>
      </c>
      <c r="E76" s="2">
        <v>8</v>
      </c>
    </row>
    <row r="77" spans="1:5" x14ac:dyDescent="0.35">
      <c r="A77" s="2" t="s">
        <v>307</v>
      </c>
      <c r="B77" s="2">
        <v>2026</v>
      </c>
      <c r="C77" s="2">
        <v>3</v>
      </c>
      <c r="D77" s="2">
        <v>29</v>
      </c>
      <c r="E77" s="2">
        <v>1</v>
      </c>
    </row>
    <row r="78" spans="1:5" x14ac:dyDescent="0.35">
      <c r="A78" s="2" t="s">
        <v>310</v>
      </c>
      <c r="B78" s="2">
        <v>2026</v>
      </c>
      <c r="C78" s="2">
        <v>1</v>
      </c>
      <c r="D78" s="2">
        <v>14</v>
      </c>
      <c r="E78" s="2">
        <v>3</v>
      </c>
    </row>
    <row r="79" spans="1:5" x14ac:dyDescent="0.35">
      <c r="A79" s="2" t="s">
        <v>313</v>
      </c>
      <c r="B79" s="2">
        <v>2026</v>
      </c>
      <c r="C79" s="2">
        <v>4</v>
      </c>
      <c r="D79" s="2">
        <v>19</v>
      </c>
      <c r="E79" s="2">
        <v>5</v>
      </c>
    </row>
    <row r="80" spans="1:5" x14ac:dyDescent="0.35">
      <c r="A80" s="2" t="s">
        <v>316</v>
      </c>
      <c r="B80" s="2">
        <v>2026</v>
      </c>
      <c r="C80" s="2">
        <v>1</v>
      </c>
      <c r="D80" s="2">
        <v>40</v>
      </c>
      <c r="E80" s="2">
        <v>12</v>
      </c>
    </row>
    <row r="81" spans="1:5" x14ac:dyDescent="0.35">
      <c r="A81" s="2" t="s">
        <v>319</v>
      </c>
      <c r="B81" s="2">
        <v>2026</v>
      </c>
      <c r="C81" s="2">
        <v>2</v>
      </c>
      <c r="D81" s="2">
        <v>30</v>
      </c>
      <c r="E81" s="2">
        <v>12</v>
      </c>
    </row>
    <row r="82" spans="1:5" x14ac:dyDescent="0.35">
      <c r="A82" s="2" t="s">
        <v>322</v>
      </c>
      <c r="B82" s="2">
        <v>2026</v>
      </c>
      <c r="C82" s="2">
        <v>4</v>
      </c>
      <c r="D82" s="2">
        <v>17</v>
      </c>
      <c r="E82" s="2">
        <v>3</v>
      </c>
    </row>
    <row r="83" spans="1:5" x14ac:dyDescent="0.35">
      <c r="A83" s="2" t="s">
        <v>325</v>
      </c>
      <c r="B83" s="2">
        <v>2026</v>
      </c>
      <c r="C83" s="2">
        <v>1</v>
      </c>
      <c r="D83" s="2">
        <v>29</v>
      </c>
      <c r="E83" s="2">
        <v>4</v>
      </c>
    </row>
    <row r="84" spans="1:5" x14ac:dyDescent="0.35">
      <c r="A84" s="2" t="s">
        <v>328</v>
      </c>
      <c r="B84" s="2">
        <v>2026</v>
      </c>
      <c r="C84" s="2">
        <v>3</v>
      </c>
      <c r="D84" s="2">
        <v>54</v>
      </c>
      <c r="E84" s="2">
        <v>5</v>
      </c>
    </row>
    <row r="85" spans="1:5" x14ac:dyDescent="0.35">
      <c r="A85" s="2" t="s">
        <v>331</v>
      </c>
      <c r="B85" s="2">
        <v>2026</v>
      </c>
      <c r="C85" s="2">
        <v>2</v>
      </c>
      <c r="D85" s="2">
        <v>1</v>
      </c>
      <c r="E85" s="2">
        <v>10</v>
      </c>
    </row>
    <row r="86" spans="1:5" x14ac:dyDescent="0.35">
      <c r="A86" s="2" t="s">
        <v>334</v>
      </c>
      <c r="B86" s="2">
        <v>2026</v>
      </c>
      <c r="C86" s="2">
        <v>4</v>
      </c>
      <c r="D86" s="2">
        <v>60</v>
      </c>
      <c r="E86" s="2">
        <v>3</v>
      </c>
    </row>
    <row r="87" spans="1:5" x14ac:dyDescent="0.35">
      <c r="A87" s="2" t="s">
        <v>337</v>
      </c>
      <c r="B87" s="2">
        <v>2026</v>
      </c>
      <c r="C87" s="2">
        <v>3</v>
      </c>
      <c r="D87" s="2">
        <v>14</v>
      </c>
      <c r="E87" s="2">
        <v>0</v>
      </c>
    </row>
    <row r="88" spans="1:5" x14ac:dyDescent="0.35">
      <c r="A88" s="2" t="s">
        <v>339</v>
      </c>
      <c r="B88" s="2">
        <v>2026</v>
      </c>
      <c r="C88" s="2">
        <v>5</v>
      </c>
      <c r="D88" s="2">
        <v>23</v>
      </c>
      <c r="E88" s="2">
        <v>10</v>
      </c>
    </row>
    <row r="89" spans="1:5" x14ac:dyDescent="0.35">
      <c r="A89" s="2" t="s">
        <v>342</v>
      </c>
      <c r="B89" s="2">
        <v>2026</v>
      </c>
      <c r="C89" s="2">
        <v>5</v>
      </c>
      <c r="D89" s="2">
        <v>5</v>
      </c>
      <c r="E89" s="2">
        <v>5</v>
      </c>
    </row>
    <row r="90" spans="1:5" x14ac:dyDescent="0.35">
      <c r="A90" s="2" t="s">
        <v>345</v>
      </c>
      <c r="B90" s="2">
        <v>2026</v>
      </c>
      <c r="C90" s="2">
        <v>1</v>
      </c>
      <c r="D90" s="2">
        <v>31</v>
      </c>
      <c r="E90" s="2">
        <v>2</v>
      </c>
    </row>
    <row r="91" spans="1:5" x14ac:dyDescent="0.35">
      <c r="A91" s="2" t="s">
        <v>348</v>
      </c>
      <c r="B91" s="2">
        <v>2026</v>
      </c>
      <c r="C91" s="2">
        <v>3</v>
      </c>
      <c r="D91" s="2">
        <v>25</v>
      </c>
      <c r="E91" s="2">
        <v>2</v>
      </c>
    </row>
    <row r="92" spans="1:5" x14ac:dyDescent="0.35">
      <c r="A92" s="2" t="s">
        <v>351</v>
      </c>
      <c r="B92" s="2">
        <v>2026</v>
      </c>
      <c r="C92" s="2">
        <v>1</v>
      </c>
      <c r="D92" s="2">
        <v>9</v>
      </c>
      <c r="E92" s="2">
        <v>2</v>
      </c>
    </row>
    <row r="93" spans="1:5" x14ac:dyDescent="0.35">
      <c r="A93" s="2" t="s">
        <v>354</v>
      </c>
      <c r="B93" s="2">
        <v>2026</v>
      </c>
      <c r="C93" s="2">
        <v>3</v>
      </c>
      <c r="D93" s="2">
        <v>7</v>
      </c>
      <c r="E93" s="2">
        <v>4</v>
      </c>
    </row>
    <row r="94" spans="1:5" x14ac:dyDescent="0.35">
      <c r="A94" s="2" t="s">
        <v>357</v>
      </c>
      <c r="B94" s="2">
        <v>2026</v>
      </c>
      <c r="C94" s="2">
        <v>2</v>
      </c>
      <c r="D94" s="2">
        <v>5</v>
      </c>
      <c r="E94" s="2">
        <v>4</v>
      </c>
    </row>
    <row r="95" spans="1:5" x14ac:dyDescent="0.35">
      <c r="A95" s="2" t="s">
        <v>360</v>
      </c>
      <c r="B95" s="2">
        <v>2026</v>
      </c>
      <c r="C95" s="2">
        <v>1</v>
      </c>
      <c r="D95" s="2">
        <v>28</v>
      </c>
      <c r="E95" s="2">
        <v>10</v>
      </c>
    </row>
    <row r="96" spans="1:5" x14ac:dyDescent="0.35">
      <c r="A96" s="2" t="s">
        <v>363</v>
      </c>
      <c r="B96" s="2">
        <v>2026</v>
      </c>
      <c r="C96" s="2">
        <v>2</v>
      </c>
      <c r="D96" s="2">
        <v>44</v>
      </c>
      <c r="E96" s="2">
        <v>5</v>
      </c>
    </row>
    <row r="97" spans="1:5" x14ac:dyDescent="0.35">
      <c r="A97" s="2" t="s">
        <v>366</v>
      </c>
      <c r="B97" s="2">
        <v>2026</v>
      </c>
      <c r="C97" s="2">
        <v>4</v>
      </c>
      <c r="D97" s="2">
        <v>41</v>
      </c>
      <c r="E97" s="2">
        <v>5</v>
      </c>
    </row>
    <row r="98" spans="1:5" x14ac:dyDescent="0.35">
      <c r="A98" s="2" t="s">
        <v>369</v>
      </c>
      <c r="B98" s="2">
        <v>2026</v>
      </c>
      <c r="C98" s="2">
        <v>2</v>
      </c>
      <c r="D98" s="2">
        <v>10</v>
      </c>
      <c r="E98" s="2">
        <v>5</v>
      </c>
    </row>
    <row r="99" spans="1:5" x14ac:dyDescent="0.35">
      <c r="A99" s="2" t="s">
        <v>372</v>
      </c>
      <c r="B99" s="2">
        <v>2026</v>
      </c>
      <c r="C99" s="2">
        <v>2</v>
      </c>
      <c r="D99" s="2">
        <v>15</v>
      </c>
      <c r="E99" s="2">
        <v>7</v>
      </c>
    </row>
    <row r="100" spans="1:5" x14ac:dyDescent="0.35">
      <c r="A100" s="2" t="s">
        <v>375</v>
      </c>
      <c r="B100" s="2">
        <v>2026</v>
      </c>
      <c r="C100" s="2">
        <v>4</v>
      </c>
      <c r="D100" s="2">
        <v>59</v>
      </c>
      <c r="E100" s="2">
        <v>11</v>
      </c>
    </row>
    <row r="101" spans="1:5" x14ac:dyDescent="0.35">
      <c r="A101" s="2" t="s">
        <v>378</v>
      </c>
      <c r="B101" s="2">
        <v>2026</v>
      </c>
      <c r="C101" s="2">
        <v>1</v>
      </c>
      <c r="D101" s="2">
        <v>23</v>
      </c>
      <c r="E101" s="2">
        <v>8</v>
      </c>
    </row>
    <row r="102" spans="1:5" x14ac:dyDescent="0.35">
      <c r="A102" s="2" t="s">
        <v>381</v>
      </c>
      <c r="B102" s="2">
        <v>2026</v>
      </c>
      <c r="C102" s="2">
        <v>5</v>
      </c>
      <c r="D102" s="2">
        <v>31</v>
      </c>
      <c r="E102" s="2">
        <v>12</v>
      </c>
    </row>
    <row r="103" spans="1:5" x14ac:dyDescent="0.35">
      <c r="A103" s="2" t="s">
        <v>384</v>
      </c>
      <c r="B103" s="2">
        <v>2026</v>
      </c>
      <c r="C103" s="2">
        <v>5</v>
      </c>
      <c r="D103" s="2">
        <v>3</v>
      </c>
      <c r="E103" s="2">
        <v>12</v>
      </c>
    </row>
    <row r="104" spans="1:5" x14ac:dyDescent="0.35">
      <c r="A104" s="2" t="s">
        <v>387</v>
      </c>
      <c r="B104" s="2">
        <v>2026</v>
      </c>
      <c r="C104" s="2">
        <v>5</v>
      </c>
      <c r="D104" s="2">
        <v>34</v>
      </c>
      <c r="E104" s="2">
        <v>9</v>
      </c>
    </row>
    <row r="105" spans="1:5" x14ac:dyDescent="0.35">
      <c r="A105" s="2" t="s">
        <v>390</v>
      </c>
      <c r="B105" s="2">
        <v>2026</v>
      </c>
      <c r="C105" s="2">
        <v>3</v>
      </c>
      <c r="D105" s="2">
        <v>57</v>
      </c>
      <c r="E105" s="2">
        <v>1</v>
      </c>
    </row>
    <row r="106" spans="1:5" x14ac:dyDescent="0.35">
      <c r="A106" s="2" t="s">
        <v>393</v>
      </c>
      <c r="B106" s="2">
        <v>2026</v>
      </c>
      <c r="C106" s="2">
        <v>3</v>
      </c>
      <c r="D106" s="2">
        <v>24</v>
      </c>
      <c r="E106" s="2">
        <v>9</v>
      </c>
    </row>
    <row r="107" spans="1:5" x14ac:dyDescent="0.35">
      <c r="A107" s="2" t="s">
        <v>396</v>
      </c>
      <c r="B107" s="2">
        <v>2026</v>
      </c>
      <c r="C107" s="2">
        <v>5</v>
      </c>
      <c r="D107" s="2">
        <v>6</v>
      </c>
      <c r="E107" s="2">
        <v>5</v>
      </c>
    </row>
    <row r="108" spans="1:5" x14ac:dyDescent="0.35">
      <c r="A108" s="2" t="s">
        <v>399</v>
      </c>
      <c r="B108" s="2">
        <v>2026</v>
      </c>
      <c r="C108" s="2">
        <v>1</v>
      </c>
      <c r="D108" s="2">
        <v>49</v>
      </c>
      <c r="E108" s="2">
        <v>9</v>
      </c>
    </row>
    <row r="109" spans="1:5" x14ac:dyDescent="0.35">
      <c r="A109" s="2" t="s">
        <v>402</v>
      </c>
      <c r="B109" s="2">
        <v>2026</v>
      </c>
      <c r="C109" s="2">
        <v>1</v>
      </c>
      <c r="D109" s="2">
        <v>23</v>
      </c>
      <c r="E109" s="2">
        <v>11</v>
      </c>
    </row>
    <row r="110" spans="1:5" x14ac:dyDescent="0.35">
      <c r="A110" s="2" t="s">
        <v>405</v>
      </c>
      <c r="B110" s="2">
        <v>2026</v>
      </c>
      <c r="C110" s="2">
        <v>3</v>
      </c>
      <c r="D110" s="2">
        <v>38</v>
      </c>
      <c r="E110" s="2">
        <v>3</v>
      </c>
    </row>
    <row r="111" spans="1:5" x14ac:dyDescent="0.35">
      <c r="A111" s="2" t="s">
        <v>408</v>
      </c>
      <c r="B111" s="2">
        <v>2026</v>
      </c>
      <c r="C111" s="2">
        <v>4</v>
      </c>
      <c r="D111" s="2">
        <v>50</v>
      </c>
      <c r="E111" s="2">
        <v>7</v>
      </c>
    </row>
    <row r="112" spans="1:5" x14ac:dyDescent="0.35">
      <c r="A112" s="2" t="s">
        <v>411</v>
      </c>
      <c r="B112" s="2">
        <v>2026</v>
      </c>
      <c r="C112" s="2">
        <v>5</v>
      </c>
      <c r="D112" s="2">
        <v>12</v>
      </c>
      <c r="E112" s="2">
        <v>0</v>
      </c>
    </row>
    <row r="113" spans="1:5" x14ac:dyDescent="0.35">
      <c r="A113" s="2" t="s">
        <v>414</v>
      </c>
      <c r="B113" s="2">
        <v>2026</v>
      </c>
      <c r="C113" s="2">
        <v>2</v>
      </c>
      <c r="D113" s="2">
        <v>52</v>
      </c>
      <c r="E113" s="2">
        <v>12</v>
      </c>
    </row>
    <row r="114" spans="1:5" x14ac:dyDescent="0.35">
      <c r="A114" s="2" t="s">
        <v>417</v>
      </c>
      <c r="B114" s="2">
        <v>2026</v>
      </c>
      <c r="C114" s="2">
        <v>5</v>
      </c>
      <c r="D114" s="2">
        <v>32</v>
      </c>
      <c r="E114" s="2">
        <v>11</v>
      </c>
    </row>
    <row r="115" spans="1:5" x14ac:dyDescent="0.35">
      <c r="A115" s="2" t="s">
        <v>420</v>
      </c>
      <c r="B115" s="2">
        <v>2026</v>
      </c>
      <c r="C115" s="2">
        <v>3</v>
      </c>
      <c r="D115" s="2">
        <v>10</v>
      </c>
      <c r="E115" s="2">
        <v>8</v>
      </c>
    </row>
    <row r="116" spans="1:5" x14ac:dyDescent="0.35">
      <c r="A116" s="2" t="s">
        <v>423</v>
      </c>
      <c r="B116" s="2">
        <v>2026</v>
      </c>
      <c r="C116" s="2">
        <v>1</v>
      </c>
      <c r="D116" s="2">
        <v>47</v>
      </c>
      <c r="E116" s="2">
        <v>11</v>
      </c>
    </row>
    <row r="117" spans="1:5" x14ac:dyDescent="0.35">
      <c r="A117" s="2" t="s">
        <v>426</v>
      </c>
      <c r="B117" s="2">
        <v>2026</v>
      </c>
      <c r="C117" s="2">
        <v>5</v>
      </c>
      <c r="D117" s="2">
        <v>10</v>
      </c>
      <c r="E117" s="2">
        <v>1</v>
      </c>
    </row>
    <row r="118" spans="1:5" x14ac:dyDescent="0.35">
      <c r="A118" s="2" t="s">
        <v>429</v>
      </c>
      <c r="B118" s="2">
        <v>2026</v>
      </c>
      <c r="C118" s="2">
        <v>1</v>
      </c>
      <c r="D118" s="2">
        <v>54</v>
      </c>
      <c r="E118" s="2">
        <v>5</v>
      </c>
    </row>
    <row r="119" spans="1:5" x14ac:dyDescent="0.35">
      <c r="A119" s="2" t="s">
        <v>431</v>
      </c>
      <c r="B119" s="2">
        <v>2026</v>
      </c>
      <c r="C119" s="2">
        <v>5</v>
      </c>
      <c r="D119" s="2">
        <v>32</v>
      </c>
      <c r="E119" s="2">
        <v>12</v>
      </c>
    </row>
    <row r="120" spans="1:5" x14ac:dyDescent="0.35">
      <c r="A120" s="2" t="s">
        <v>434</v>
      </c>
      <c r="B120" s="2">
        <v>2026</v>
      </c>
      <c r="C120" s="2">
        <v>2</v>
      </c>
      <c r="D120" s="2">
        <v>60</v>
      </c>
      <c r="E120" s="2">
        <v>2</v>
      </c>
    </row>
    <row r="121" spans="1:5" x14ac:dyDescent="0.35">
      <c r="A121" s="2" t="s">
        <v>437</v>
      </c>
      <c r="B121" s="2">
        <v>2026</v>
      </c>
      <c r="C121" s="2">
        <v>2</v>
      </c>
      <c r="D121" s="2">
        <v>37</v>
      </c>
      <c r="E121" s="2">
        <v>11</v>
      </c>
    </row>
    <row r="122" spans="1:5" x14ac:dyDescent="0.35">
      <c r="A122" s="2" t="s">
        <v>440</v>
      </c>
      <c r="B122" s="2">
        <v>2026</v>
      </c>
      <c r="C122" s="2">
        <v>1</v>
      </c>
      <c r="D122" s="2">
        <v>4</v>
      </c>
      <c r="E122" s="2">
        <v>4</v>
      </c>
    </row>
    <row r="123" spans="1:5" x14ac:dyDescent="0.35">
      <c r="A123" s="2" t="s">
        <v>443</v>
      </c>
      <c r="B123" s="2">
        <v>2026</v>
      </c>
      <c r="C123" s="2">
        <v>5</v>
      </c>
      <c r="D123" s="2">
        <v>58</v>
      </c>
      <c r="E123" s="2">
        <v>8</v>
      </c>
    </row>
    <row r="124" spans="1:5" x14ac:dyDescent="0.35">
      <c r="A124" s="2" t="s">
        <v>446</v>
      </c>
      <c r="B124" s="2">
        <v>2026</v>
      </c>
      <c r="C124" s="2">
        <v>4</v>
      </c>
      <c r="D124" s="2">
        <v>17</v>
      </c>
      <c r="E124" s="2">
        <v>12</v>
      </c>
    </row>
    <row r="125" spans="1:5" x14ac:dyDescent="0.35">
      <c r="A125" s="2" t="s">
        <v>449</v>
      </c>
      <c r="B125" s="2">
        <v>2026</v>
      </c>
      <c r="C125" s="2">
        <v>4</v>
      </c>
      <c r="D125" s="2">
        <v>26</v>
      </c>
      <c r="E125" s="2">
        <v>9</v>
      </c>
    </row>
    <row r="126" spans="1:5" x14ac:dyDescent="0.35">
      <c r="A126" s="2" t="s">
        <v>452</v>
      </c>
      <c r="B126" s="2">
        <v>2026</v>
      </c>
      <c r="C126" s="2">
        <v>4</v>
      </c>
      <c r="D126" s="2">
        <v>60</v>
      </c>
      <c r="E126" s="2">
        <v>3</v>
      </c>
    </row>
    <row r="127" spans="1:5" x14ac:dyDescent="0.35">
      <c r="A127" s="2" t="s">
        <v>455</v>
      </c>
      <c r="B127" s="2">
        <v>2026</v>
      </c>
      <c r="C127" s="2">
        <v>2</v>
      </c>
      <c r="D127" s="2">
        <v>17</v>
      </c>
      <c r="E127" s="2">
        <v>7</v>
      </c>
    </row>
    <row r="128" spans="1:5" x14ac:dyDescent="0.35">
      <c r="A128" s="2" t="s">
        <v>458</v>
      </c>
      <c r="B128" s="2">
        <v>2026</v>
      </c>
      <c r="C128" s="2">
        <v>5</v>
      </c>
      <c r="D128" s="2">
        <v>56</v>
      </c>
      <c r="E128" s="2">
        <v>6</v>
      </c>
    </row>
    <row r="129" spans="1:5" x14ac:dyDescent="0.35">
      <c r="A129" s="2" t="s">
        <v>461</v>
      </c>
      <c r="B129" s="2">
        <v>2026</v>
      </c>
      <c r="C129" s="2">
        <v>1</v>
      </c>
      <c r="D129" s="2">
        <v>14</v>
      </c>
      <c r="E129" s="2">
        <v>6</v>
      </c>
    </row>
    <row r="130" spans="1:5" x14ac:dyDescent="0.35">
      <c r="A130" s="2" t="s">
        <v>464</v>
      </c>
      <c r="B130" s="2">
        <v>2026</v>
      </c>
      <c r="C130" s="2">
        <v>5</v>
      </c>
      <c r="D130" s="2">
        <v>54</v>
      </c>
      <c r="E130" s="2">
        <v>6</v>
      </c>
    </row>
    <row r="131" spans="1:5" x14ac:dyDescent="0.35">
      <c r="A131" s="2" t="s">
        <v>467</v>
      </c>
      <c r="B131" s="2">
        <v>2026</v>
      </c>
      <c r="C131" s="2">
        <v>1</v>
      </c>
      <c r="D131" s="2">
        <v>18</v>
      </c>
      <c r="E131" s="2">
        <v>9</v>
      </c>
    </row>
    <row r="132" spans="1:5" x14ac:dyDescent="0.35">
      <c r="A132" s="2" t="s">
        <v>470</v>
      </c>
      <c r="B132" s="2">
        <v>2026</v>
      </c>
      <c r="C132" s="2">
        <v>5</v>
      </c>
      <c r="D132" s="2">
        <v>13</v>
      </c>
      <c r="E132" s="2">
        <v>1</v>
      </c>
    </row>
    <row r="133" spans="1:5" x14ac:dyDescent="0.35">
      <c r="A133" s="2" t="s">
        <v>473</v>
      </c>
      <c r="B133" s="2">
        <v>2026</v>
      </c>
      <c r="C133" s="2">
        <v>5</v>
      </c>
      <c r="D133" s="2">
        <v>36</v>
      </c>
      <c r="E133" s="2">
        <v>11</v>
      </c>
    </row>
    <row r="134" spans="1:5" x14ac:dyDescent="0.35">
      <c r="A134" s="2" t="s">
        <v>476</v>
      </c>
      <c r="B134" s="2">
        <v>2026</v>
      </c>
      <c r="C134" s="2">
        <v>4</v>
      </c>
      <c r="D134" s="2">
        <v>26</v>
      </c>
      <c r="E134" s="2">
        <v>3</v>
      </c>
    </row>
    <row r="135" spans="1:5" x14ac:dyDescent="0.35">
      <c r="A135" s="2" t="s">
        <v>479</v>
      </c>
      <c r="B135" s="2">
        <v>2026</v>
      </c>
      <c r="C135" s="2">
        <v>2</v>
      </c>
      <c r="D135" s="2">
        <v>50</v>
      </c>
      <c r="E135" s="2">
        <v>8</v>
      </c>
    </row>
    <row r="136" spans="1:5" x14ac:dyDescent="0.35">
      <c r="A136" s="2" t="s">
        <v>482</v>
      </c>
      <c r="B136" s="2">
        <v>2026</v>
      </c>
      <c r="C136" s="2">
        <v>1</v>
      </c>
      <c r="D136" s="2">
        <v>13</v>
      </c>
      <c r="E136" s="2">
        <v>11</v>
      </c>
    </row>
    <row r="137" spans="1:5" x14ac:dyDescent="0.35">
      <c r="A137" s="2" t="s">
        <v>485</v>
      </c>
      <c r="B137" s="2">
        <v>2026</v>
      </c>
      <c r="C137" s="2">
        <v>2</v>
      </c>
      <c r="D137" s="2">
        <v>31</v>
      </c>
      <c r="E137" s="2">
        <v>6</v>
      </c>
    </row>
    <row r="138" spans="1:5" x14ac:dyDescent="0.35">
      <c r="A138" s="2" t="s">
        <v>488</v>
      </c>
      <c r="B138" s="2">
        <v>2026</v>
      </c>
      <c r="C138" s="2">
        <v>3</v>
      </c>
      <c r="D138" s="2">
        <v>41</v>
      </c>
      <c r="E138" s="2">
        <v>11</v>
      </c>
    </row>
    <row r="139" spans="1:5" x14ac:dyDescent="0.35">
      <c r="A139" s="2" t="s">
        <v>491</v>
      </c>
      <c r="B139" s="2">
        <v>2026</v>
      </c>
      <c r="C139" s="2">
        <v>1</v>
      </c>
      <c r="D139" s="2">
        <v>48</v>
      </c>
      <c r="E139" s="2">
        <v>1</v>
      </c>
    </row>
    <row r="140" spans="1:5" x14ac:dyDescent="0.35">
      <c r="A140" s="2" t="s">
        <v>494</v>
      </c>
      <c r="B140" s="2">
        <v>2026</v>
      </c>
      <c r="C140" s="2">
        <v>5</v>
      </c>
      <c r="D140" s="2">
        <v>14</v>
      </c>
      <c r="E140" s="2">
        <v>0</v>
      </c>
    </row>
    <row r="141" spans="1:5" x14ac:dyDescent="0.35">
      <c r="A141" s="2" t="s">
        <v>497</v>
      </c>
      <c r="B141" s="2">
        <v>2026</v>
      </c>
      <c r="C141" s="2">
        <v>2</v>
      </c>
      <c r="D141" s="2">
        <v>46</v>
      </c>
      <c r="E141" s="2">
        <v>4</v>
      </c>
    </row>
    <row r="142" spans="1:5" x14ac:dyDescent="0.35">
      <c r="A142" s="2" t="s">
        <v>500</v>
      </c>
      <c r="B142" s="2">
        <v>2026</v>
      </c>
      <c r="C142" s="2">
        <v>3</v>
      </c>
      <c r="D142" s="2">
        <v>51</v>
      </c>
      <c r="E142" s="2">
        <v>6</v>
      </c>
    </row>
    <row r="143" spans="1:5" x14ac:dyDescent="0.35">
      <c r="A143" s="2" t="s">
        <v>503</v>
      </c>
      <c r="B143" s="2">
        <v>2026</v>
      </c>
      <c r="C143" s="2">
        <v>1</v>
      </c>
      <c r="D143" s="2">
        <v>25</v>
      </c>
      <c r="E143" s="2">
        <v>7</v>
      </c>
    </row>
    <row r="144" spans="1:5" x14ac:dyDescent="0.35">
      <c r="A144" s="2" t="s">
        <v>506</v>
      </c>
      <c r="B144" s="2">
        <v>2026</v>
      </c>
      <c r="C144" s="2">
        <v>3</v>
      </c>
      <c r="D144" s="2">
        <v>36</v>
      </c>
      <c r="E144" s="2">
        <v>3</v>
      </c>
    </row>
    <row r="145" spans="1:5" x14ac:dyDescent="0.35">
      <c r="A145" s="2" t="s">
        <v>509</v>
      </c>
      <c r="B145" s="2">
        <v>2026</v>
      </c>
      <c r="C145" s="2">
        <v>1</v>
      </c>
      <c r="D145" s="2">
        <v>9</v>
      </c>
      <c r="E145" s="2">
        <v>12</v>
      </c>
    </row>
    <row r="146" spans="1:5" x14ac:dyDescent="0.35">
      <c r="A146" s="2" t="s">
        <v>512</v>
      </c>
      <c r="B146" s="2">
        <v>2026</v>
      </c>
      <c r="C146" s="2">
        <v>1</v>
      </c>
      <c r="D146" s="2">
        <v>31</v>
      </c>
      <c r="E146" s="2">
        <v>2</v>
      </c>
    </row>
    <row r="147" spans="1:5" x14ac:dyDescent="0.35">
      <c r="A147" s="2" t="s">
        <v>515</v>
      </c>
      <c r="B147" s="2">
        <v>2026</v>
      </c>
      <c r="C147" s="2">
        <v>3</v>
      </c>
      <c r="D147" s="2">
        <v>27</v>
      </c>
      <c r="E147" s="2">
        <v>11</v>
      </c>
    </row>
    <row r="148" spans="1:5" x14ac:dyDescent="0.35">
      <c r="A148" s="2" t="s">
        <v>518</v>
      </c>
      <c r="B148" s="2">
        <v>2026</v>
      </c>
      <c r="C148" s="2">
        <v>5</v>
      </c>
      <c r="D148" s="2">
        <v>18</v>
      </c>
      <c r="E148" s="2">
        <v>9</v>
      </c>
    </row>
    <row r="149" spans="1:5" x14ac:dyDescent="0.35">
      <c r="A149" s="2" t="s">
        <v>521</v>
      </c>
      <c r="B149" s="2">
        <v>2026</v>
      </c>
      <c r="C149" s="2">
        <v>5</v>
      </c>
      <c r="D149" s="2">
        <v>13</v>
      </c>
      <c r="E149" s="2">
        <v>3</v>
      </c>
    </row>
    <row r="150" spans="1:5" x14ac:dyDescent="0.35">
      <c r="A150" s="2" t="s">
        <v>524</v>
      </c>
      <c r="B150" s="2">
        <v>2026</v>
      </c>
      <c r="C150" s="2">
        <v>4</v>
      </c>
      <c r="D150" s="2">
        <v>12</v>
      </c>
      <c r="E150" s="2">
        <v>7</v>
      </c>
    </row>
    <row r="151" spans="1:5" x14ac:dyDescent="0.35">
      <c r="A151" s="2" t="s">
        <v>526</v>
      </c>
      <c r="B151" s="2">
        <v>2026</v>
      </c>
      <c r="C151" s="2">
        <v>1</v>
      </c>
      <c r="D151" s="2">
        <v>27</v>
      </c>
      <c r="E151" s="2">
        <v>0</v>
      </c>
    </row>
    <row r="152" spans="1:5" x14ac:dyDescent="0.35">
      <c r="A152" s="2" t="s">
        <v>529</v>
      </c>
      <c r="B152" s="2">
        <v>2026</v>
      </c>
      <c r="C152" s="2">
        <v>2</v>
      </c>
      <c r="D152" s="2">
        <v>3</v>
      </c>
      <c r="E152" s="2">
        <v>8</v>
      </c>
    </row>
    <row r="153" spans="1:5" x14ac:dyDescent="0.35">
      <c r="A153" s="2" t="s">
        <v>532</v>
      </c>
      <c r="B153" s="2">
        <v>2026</v>
      </c>
      <c r="C153" s="2">
        <v>5</v>
      </c>
      <c r="D153" s="2">
        <v>55</v>
      </c>
      <c r="E153" s="2">
        <v>6</v>
      </c>
    </row>
    <row r="154" spans="1:5" x14ac:dyDescent="0.35">
      <c r="A154" s="2" t="s">
        <v>535</v>
      </c>
      <c r="B154" s="2">
        <v>2026</v>
      </c>
      <c r="C154" s="2">
        <v>5</v>
      </c>
      <c r="D154" s="2">
        <v>16</v>
      </c>
      <c r="E154" s="2">
        <v>3</v>
      </c>
    </row>
    <row r="155" spans="1:5" x14ac:dyDescent="0.35">
      <c r="A155" s="2" t="s">
        <v>538</v>
      </c>
      <c r="B155" s="2">
        <v>2026</v>
      </c>
      <c r="C155" s="2">
        <v>2</v>
      </c>
      <c r="D155" s="2">
        <v>29</v>
      </c>
      <c r="E155" s="2">
        <v>9</v>
      </c>
    </row>
    <row r="156" spans="1:5" x14ac:dyDescent="0.35">
      <c r="A156" s="2" t="s">
        <v>541</v>
      </c>
      <c r="B156" s="2">
        <v>2026</v>
      </c>
      <c r="C156" s="2">
        <v>2</v>
      </c>
      <c r="D156" s="2">
        <v>3</v>
      </c>
      <c r="E156" s="2">
        <v>10</v>
      </c>
    </row>
    <row r="157" spans="1:5" x14ac:dyDescent="0.35">
      <c r="A157" s="2" t="s">
        <v>544</v>
      </c>
      <c r="B157" s="2">
        <v>2026</v>
      </c>
      <c r="C157" s="2">
        <v>3</v>
      </c>
      <c r="D157" s="2">
        <v>59</v>
      </c>
      <c r="E157" s="2">
        <v>1</v>
      </c>
    </row>
    <row r="158" spans="1:5" x14ac:dyDescent="0.35">
      <c r="A158" s="2" t="s">
        <v>547</v>
      </c>
      <c r="B158" s="2">
        <v>2026</v>
      </c>
      <c r="C158" s="2">
        <v>5</v>
      </c>
      <c r="D158" s="2">
        <v>29</v>
      </c>
      <c r="E158" s="2">
        <v>11</v>
      </c>
    </row>
    <row r="159" spans="1:5" x14ac:dyDescent="0.35">
      <c r="A159" s="2" t="s">
        <v>550</v>
      </c>
      <c r="B159" s="2">
        <v>2026</v>
      </c>
      <c r="C159" s="2">
        <v>3</v>
      </c>
      <c r="D159" s="2">
        <v>8</v>
      </c>
      <c r="E159" s="2">
        <v>11</v>
      </c>
    </row>
    <row r="160" spans="1:5" x14ac:dyDescent="0.35">
      <c r="A160" s="2" t="s">
        <v>553</v>
      </c>
      <c r="B160" s="2">
        <v>2026</v>
      </c>
      <c r="C160" s="2">
        <v>5</v>
      </c>
      <c r="D160" s="2">
        <v>42</v>
      </c>
      <c r="E160" s="2">
        <v>4</v>
      </c>
    </row>
    <row r="161" spans="1:5" x14ac:dyDescent="0.35">
      <c r="A161" s="2" t="s">
        <v>556</v>
      </c>
      <c r="B161" s="2">
        <v>2026</v>
      </c>
      <c r="C161" s="2">
        <v>4</v>
      </c>
      <c r="D161" s="2">
        <v>57</v>
      </c>
      <c r="E161" s="2">
        <v>4</v>
      </c>
    </row>
    <row r="162" spans="1:5" x14ac:dyDescent="0.35">
      <c r="A162" s="2" t="s">
        <v>559</v>
      </c>
      <c r="B162" s="2">
        <v>2026</v>
      </c>
      <c r="C162" s="2">
        <v>3</v>
      </c>
      <c r="D162" s="2">
        <v>4</v>
      </c>
      <c r="E162" s="2">
        <v>7</v>
      </c>
    </row>
    <row r="163" spans="1:5" x14ac:dyDescent="0.35">
      <c r="A163" s="2" t="s">
        <v>562</v>
      </c>
      <c r="B163" s="2">
        <v>2026</v>
      </c>
      <c r="C163" s="2">
        <v>4</v>
      </c>
      <c r="D163" s="2">
        <v>14</v>
      </c>
      <c r="E163" s="2">
        <v>9</v>
      </c>
    </row>
    <row r="164" spans="1:5" x14ac:dyDescent="0.35">
      <c r="A164" s="2" t="s">
        <v>564</v>
      </c>
      <c r="B164" s="2">
        <v>2026</v>
      </c>
      <c r="C164" s="2">
        <v>4</v>
      </c>
      <c r="D164" s="2">
        <v>20</v>
      </c>
      <c r="E164" s="2">
        <v>7</v>
      </c>
    </row>
    <row r="165" spans="1:5" x14ac:dyDescent="0.35">
      <c r="A165" s="2" t="s">
        <v>567</v>
      </c>
      <c r="B165" s="2">
        <v>2026</v>
      </c>
      <c r="C165" s="2">
        <v>3</v>
      </c>
      <c r="D165" s="2">
        <v>20</v>
      </c>
      <c r="E165" s="2">
        <v>1</v>
      </c>
    </row>
    <row r="166" spans="1:5" x14ac:dyDescent="0.35">
      <c r="A166" s="2" t="s">
        <v>570</v>
      </c>
      <c r="B166" s="2">
        <v>2026</v>
      </c>
      <c r="C166" s="2">
        <v>5</v>
      </c>
      <c r="D166" s="2">
        <v>16</v>
      </c>
      <c r="E166" s="2">
        <v>1</v>
      </c>
    </row>
    <row r="167" spans="1:5" x14ac:dyDescent="0.35">
      <c r="A167" s="2" t="s">
        <v>573</v>
      </c>
      <c r="B167" s="2">
        <v>2026</v>
      </c>
      <c r="C167" s="2">
        <v>2</v>
      </c>
      <c r="D167" s="2">
        <v>18</v>
      </c>
      <c r="E167" s="2">
        <v>6</v>
      </c>
    </row>
    <row r="168" spans="1:5" x14ac:dyDescent="0.35">
      <c r="A168" s="2" t="s">
        <v>576</v>
      </c>
      <c r="B168" s="2">
        <v>2026</v>
      </c>
      <c r="C168" s="2">
        <v>1</v>
      </c>
      <c r="D168" s="2">
        <v>60</v>
      </c>
      <c r="E168" s="2">
        <v>3</v>
      </c>
    </row>
    <row r="169" spans="1:5" x14ac:dyDescent="0.35">
      <c r="A169" s="2" t="s">
        <v>579</v>
      </c>
      <c r="B169" s="2">
        <v>2026</v>
      </c>
      <c r="C169" s="2">
        <v>2</v>
      </c>
      <c r="D169" s="2">
        <v>21</v>
      </c>
      <c r="E169" s="2">
        <v>2</v>
      </c>
    </row>
    <row r="170" spans="1:5" x14ac:dyDescent="0.35">
      <c r="A170" s="2" t="s">
        <v>582</v>
      </c>
      <c r="B170" s="2">
        <v>2026</v>
      </c>
      <c r="C170" s="2">
        <v>2</v>
      </c>
      <c r="D170" s="2">
        <v>21</v>
      </c>
      <c r="E170" s="2">
        <v>1</v>
      </c>
    </row>
    <row r="171" spans="1:5" x14ac:dyDescent="0.35">
      <c r="A171" s="2" t="s">
        <v>585</v>
      </c>
      <c r="B171" s="2">
        <v>2026</v>
      </c>
      <c r="C171" s="2">
        <v>1</v>
      </c>
      <c r="D171" s="2">
        <v>16</v>
      </c>
      <c r="E171" s="2">
        <v>10</v>
      </c>
    </row>
    <row r="172" spans="1:5" x14ac:dyDescent="0.35">
      <c r="A172" s="2" t="s">
        <v>588</v>
      </c>
      <c r="B172" s="2">
        <v>2026</v>
      </c>
      <c r="C172" s="2">
        <v>5</v>
      </c>
      <c r="D172" s="2">
        <v>43</v>
      </c>
      <c r="E172" s="2">
        <v>4</v>
      </c>
    </row>
    <row r="173" spans="1:5" x14ac:dyDescent="0.35">
      <c r="A173" s="2" t="s">
        <v>591</v>
      </c>
      <c r="B173" s="2">
        <v>2026</v>
      </c>
      <c r="C173" s="2">
        <v>5</v>
      </c>
      <c r="D173" s="2">
        <v>10</v>
      </c>
      <c r="E173" s="2">
        <v>11</v>
      </c>
    </row>
    <row r="174" spans="1:5" x14ac:dyDescent="0.35">
      <c r="A174" s="2" t="s">
        <v>594</v>
      </c>
      <c r="B174" s="2">
        <v>2026</v>
      </c>
      <c r="C174" s="2">
        <v>3</v>
      </c>
      <c r="D174" s="2">
        <v>52</v>
      </c>
      <c r="E174" s="2">
        <v>0</v>
      </c>
    </row>
    <row r="175" spans="1:5" x14ac:dyDescent="0.35">
      <c r="A175" s="2" t="s">
        <v>597</v>
      </c>
      <c r="B175" s="2">
        <v>2026</v>
      </c>
      <c r="C175" s="2">
        <v>1</v>
      </c>
      <c r="D175" s="2">
        <v>36</v>
      </c>
      <c r="E175" s="2">
        <v>11</v>
      </c>
    </row>
    <row r="176" spans="1:5" x14ac:dyDescent="0.35">
      <c r="A176" s="2" t="s">
        <v>600</v>
      </c>
      <c r="B176" s="2">
        <v>2026</v>
      </c>
      <c r="C176" s="2">
        <v>1</v>
      </c>
      <c r="D176" s="2">
        <v>45</v>
      </c>
      <c r="E176" s="2">
        <v>9</v>
      </c>
    </row>
    <row r="177" spans="1:5" x14ac:dyDescent="0.35">
      <c r="A177" s="2" t="s">
        <v>603</v>
      </c>
      <c r="B177" s="2">
        <v>2026</v>
      </c>
      <c r="C177" s="2">
        <v>5</v>
      </c>
      <c r="D177" s="2">
        <v>22</v>
      </c>
      <c r="E177" s="2">
        <v>0</v>
      </c>
    </row>
    <row r="178" spans="1:5" x14ac:dyDescent="0.35">
      <c r="A178" s="2" t="s">
        <v>606</v>
      </c>
      <c r="B178" s="2">
        <v>2026</v>
      </c>
      <c r="C178" s="2">
        <v>4</v>
      </c>
      <c r="D178" s="2">
        <v>49</v>
      </c>
      <c r="E178" s="2">
        <v>7</v>
      </c>
    </row>
    <row r="179" spans="1:5" x14ac:dyDescent="0.35">
      <c r="A179" s="2" t="s">
        <v>609</v>
      </c>
      <c r="B179" s="2">
        <v>2026</v>
      </c>
      <c r="C179" s="2">
        <v>3</v>
      </c>
      <c r="D179" s="2">
        <v>9</v>
      </c>
      <c r="E179" s="2">
        <v>2</v>
      </c>
    </row>
    <row r="180" spans="1:5" x14ac:dyDescent="0.35">
      <c r="A180" s="2" t="s">
        <v>612</v>
      </c>
      <c r="B180" s="2">
        <v>2026</v>
      </c>
      <c r="C180" s="2">
        <v>4</v>
      </c>
      <c r="D180" s="2">
        <v>39</v>
      </c>
      <c r="E180" s="2">
        <v>6</v>
      </c>
    </row>
    <row r="181" spans="1:5" x14ac:dyDescent="0.35">
      <c r="A181" s="2" t="s">
        <v>615</v>
      </c>
      <c r="B181" s="2">
        <v>2026</v>
      </c>
      <c r="C181" s="2">
        <v>2</v>
      </c>
      <c r="D181" s="2">
        <v>35</v>
      </c>
      <c r="E181" s="2">
        <v>9</v>
      </c>
    </row>
    <row r="182" spans="1:5" x14ac:dyDescent="0.35">
      <c r="A182" s="2" t="s">
        <v>618</v>
      </c>
      <c r="B182" s="2">
        <v>2026</v>
      </c>
      <c r="C182" s="2">
        <v>2</v>
      </c>
      <c r="D182" s="2">
        <v>24</v>
      </c>
      <c r="E182" s="2">
        <v>9</v>
      </c>
    </row>
    <row r="183" spans="1:5" x14ac:dyDescent="0.35">
      <c r="A183" s="2" t="s">
        <v>621</v>
      </c>
      <c r="B183" s="2">
        <v>2026</v>
      </c>
      <c r="C183" s="2">
        <v>4</v>
      </c>
      <c r="D183" s="2">
        <v>45</v>
      </c>
      <c r="E183" s="2">
        <v>9</v>
      </c>
    </row>
    <row r="184" spans="1:5" x14ac:dyDescent="0.35">
      <c r="A184" s="2" t="s">
        <v>624</v>
      </c>
      <c r="B184" s="2">
        <v>2026</v>
      </c>
      <c r="C184" s="2">
        <v>4</v>
      </c>
      <c r="D184" s="2">
        <v>40</v>
      </c>
      <c r="E184" s="2">
        <v>7</v>
      </c>
    </row>
    <row r="185" spans="1:5" x14ac:dyDescent="0.35">
      <c r="A185" s="2" t="s">
        <v>627</v>
      </c>
      <c r="B185" s="2">
        <v>2026</v>
      </c>
      <c r="C185" s="2">
        <v>1</v>
      </c>
      <c r="D185" s="2">
        <v>11</v>
      </c>
      <c r="E185" s="2">
        <v>9</v>
      </c>
    </row>
    <row r="186" spans="1:5" x14ac:dyDescent="0.35">
      <c r="A186" s="2" t="s">
        <v>630</v>
      </c>
      <c r="B186" s="2">
        <v>2026</v>
      </c>
      <c r="C186" s="2">
        <v>4</v>
      </c>
      <c r="D186" s="2">
        <v>19</v>
      </c>
      <c r="E186" s="2">
        <v>9</v>
      </c>
    </row>
    <row r="187" spans="1:5" x14ac:dyDescent="0.35">
      <c r="A187" s="2" t="s">
        <v>632</v>
      </c>
      <c r="B187" s="2">
        <v>2026</v>
      </c>
      <c r="C187" s="2">
        <v>2</v>
      </c>
      <c r="D187" s="2">
        <v>36</v>
      </c>
      <c r="E187" s="2">
        <v>0</v>
      </c>
    </row>
    <row r="188" spans="1:5" x14ac:dyDescent="0.35">
      <c r="A188" s="2" t="s">
        <v>635</v>
      </c>
      <c r="B188" s="2">
        <v>2026</v>
      </c>
      <c r="C188" s="2">
        <v>3</v>
      </c>
      <c r="D188" s="2">
        <v>39</v>
      </c>
      <c r="E188" s="2">
        <v>8</v>
      </c>
    </row>
    <row r="189" spans="1:5" x14ac:dyDescent="0.35">
      <c r="A189" s="2" t="s">
        <v>637</v>
      </c>
      <c r="B189" s="2">
        <v>2026</v>
      </c>
      <c r="C189" s="2">
        <v>3</v>
      </c>
      <c r="D189" s="2">
        <v>54</v>
      </c>
      <c r="E189" s="2">
        <v>11</v>
      </c>
    </row>
    <row r="190" spans="1:5" x14ac:dyDescent="0.35">
      <c r="A190" s="2" t="s">
        <v>640</v>
      </c>
      <c r="B190" s="2">
        <v>2026</v>
      </c>
      <c r="C190" s="2">
        <v>5</v>
      </c>
      <c r="D190" s="2">
        <v>47</v>
      </c>
      <c r="E190" s="2">
        <v>5</v>
      </c>
    </row>
    <row r="191" spans="1:5" x14ac:dyDescent="0.35">
      <c r="A191" s="2" t="s">
        <v>643</v>
      </c>
      <c r="B191" s="2">
        <v>2026</v>
      </c>
      <c r="C191" s="2">
        <v>5</v>
      </c>
      <c r="D191" s="2">
        <v>43</v>
      </c>
      <c r="E191" s="2">
        <v>5</v>
      </c>
    </row>
    <row r="192" spans="1:5" x14ac:dyDescent="0.35">
      <c r="A192" s="2" t="s">
        <v>646</v>
      </c>
      <c r="B192" s="2">
        <v>2026</v>
      </c>
      <c r="C192" s="2">
        <v>2</v>
      </c>
      <c r="D192" s="2">
        <v>31</v>
      </c>
      <c r="E192" s="2">
        <v>3</v>
      </c>
    </row>
    <row r="193" spans="1:5" x14ac:dyDescent="0.35">
      <c r="A193" s="2" t="s">
        <v>649</v>
      </c>
      <c r="B193" s="2">
        <v>2026</v>
      </c>
      <c r="C193" s="2">
        <v>3</v>
      </c>
      <c r="D193" s="2">
        <v>16</v>
      </c>
      <c r="E193" s="2">
        <v>11</v>
      </c>
    </row>
    <row r="194" spans="1:5" x14ac:dyDescent="0.35">
      <c r="A194" s="2" t="s">
        <v>652</v>
      </c>
      <c r="B194" s="2">
        <v>2026</v>
      </c>
      <c r="C194" s="2">
        <v>3</v>
      </c>
      <c r="D194" s="2">
        <v>9</v>
      </c>
      <c r="E194" s="2">
        <v>12</v>
      </c>
    </row>
    <row r="195" spans="1:5" x14ac:dyDescent="0.35">
      <c r="A195" s="2" t="s">
        <v>655</v>
      </c>
      <c r="B195" s="2">
        <v>2026</v>
      </c>
      <c r="C195" s="2">
        <v>3</v>
      </c>
      <c r="D195" s="2">
        <v>32</v>
      </c>
      <c r="E195" s="2">
        <v>9</v>
      </c>
    </row>
    <row r="196" spans="1:5" x14ac:dyDescent="0.35">
      <c r="A196" s="2" t="s">
        <v>658</v>
      </c>
      <c r="B196" s="2">
        <v>2026</v>
      </c>
      <c r="C196" s="2">
        <v>2</v>
      </c>
      <c r="D196" s="2">
        <v>51</v>
      </c>
      <c r="E196" s="2">
        <v>7</v>
      </c>
    </row>
    <row r="197" spans="1:5" x14ac:dyDescent="0.35">
      <c r="A197" s="2" t="s">
        <v>661</v>
      </c>
      <c r="B197" s="2">
        <v>2026</v>
      </c>
      <c r="C197" s="2">
        <v>3</v>
      </c>
      <c r="D197" s="2">
        <v>2</v>
      </c>
      <c r="E197" s="2">
        <v>4</v>
      </c>
    </row>
    <row r="198" spans="1:5" x14ac:dyDescent="0.35">
      <c r="A198" s="2" t="s">
        <v>664</v>
      </c>
      <c r="B198" s="2">
        <v>2026</v>
      </c>
      <c r="C198" s="2">
        <v>2</v>
      </c>
      <c r="D198" s="2">
        <v>42</v>
      </c>
      <c r="E198" s="2">
        <v>6</v>
      </c>
    </row>
    <row r="199" spans="1:5" x14ac:dyDescent="0.35">
      <c r="A199" s="2" t="s">
        <v>667</v>
      </c>
      <c r="B199" s="2">
        <v>2026</v>
      </c>
      <c r="C199" s="2">
        <v>2</v>
      </c>
      <c r="D199" s="2">
        <v>2</v>
      </c>
      <c r="E199" s="2">
        <v>9</v>
      </c>
    </row>
    <row r="200" spans="1:5" x14ac:dyDescent="0.35">
      <c r="A200" s="2" t="s">
        <v>669</v>
      </c>
      <c r="B200" s="2">
        <v>2026</v>
      </c>
      <c r="C200" s="2">
        <v>5</v>
      </c>
      <c r="D200" s="2">
        <v>44</v>
      </c>
      <c r="E200" s="2">
        <v>11</v>
      </c>
    </row>
    <row r="201" spans="1:5" x14ac:dyDescent="0.35">
      <c r="A201" s="2" t="s">
        <v>672</v>
      </c>
      <c r="B201" s="2">
        <v>2026</v>
      </c>
      <c r="C201" s="2">
        <v>1</v>
      </c>
      <c r="D201" s="2">
        <v>43</v>
      </c>
      <c r="E201" s="2">
        <v>9</v>
      </c>
    </row>
    <row r="202" spans="1:5" x14ac:dyDescent="0.35">
      <c r="A202" s="2" t="s">
        <v>675</v>
      </c>
      <c r="B202" s="2">
        <v>2026</v>
      </c>
      <c r="C202" s="2">
        <v>3</v>
      </c>
      <c r="D202" s="2">
        <v>28</v>
      </c>
      <c r="E202" s="2">
        <v>12</v>
      </c>
    </row>
    <row r="203" spans="1:5" x14ac:dyDescent="0.35">
      <c r="A203" s="2" t="s">
        <v>678</v>
      </c>
      <c r="B203" s="2">
        <v>2026</v>
      </c>
      <c r="C203" s="2">
        <v>2</v>
      </c>
      <c r="D203" s="2">
        <v>45</v>
      </c>
      <c r="E203" s="2">
        <v>3</v>
      </c>
    </row>
    <row r="204" spans="1:5" x14ac:dyDescent="0.35">
      <c r="A204" s="2" t="s">
        <v>681</v>
      </c>
      <c r="B204" s="2">
        <v>2026</v>
      </c>
      <c r="C204" s="2">
        <v>2</v>
      </c>
      <c r="D204" s="2">
        <v>15</v>
      </c>
      <c r="E204" s="2">
        <v>10</v>
      </c>
    </row>
    <row r="205" spans="1:5" x14ac:dyDescent="0.35">
      <c r="A205" s="2" t="s">
        <v>684</v>
      </c>
      <c r="B205" s="2">
        <v>2026</v>
      </c>
      <c r="C205" s="2">
        <v>4</v>
      </c>
      <c r="D205" s="2">
        <v>50</v>
      </c>
      <c r="E205" s="2">
        <v>12</v>
      </c>
    </row>
    <row r="206" spans="1:5" x14ac:dyDescent="0.35">
      <c r="A206" s="2" t="s">
        <v>687</v>
      </c>
      <c r="B206" s="2">
        <v>2026</v>
      </c>
      <c r="C206" s="2">
        <v>4</v>
      </c>
      <c r="D206" s="2">
        <v>32</v>
      </c>
      <c r="E206" s="2">
        <v>8</v>
      </c>
    </row>
    <row r="207" spans="1:5" x14ac:dyDescent="0.35">
      <c r="A207" s="2" t="s">
        <v>690</v>
      </c>
      <c r="B207" s="2">
        <v>2026</v>
      </c>
      <c r="C207" s="2">
        <v>1</v>
      </c>
      <c r="D207" s="2">
        <v>34</v>
      </c>
      <c r="E207" s="2">
        <v>5</v>
      </c>
    </row>
    <row r="208" spans="1:5" x14ac:dyDescent="0.35">
      <c r="A208" s="2" t="s">
        <v>692</v>
      </c>
      <c r="B208" s="2">
        <v>2026</v>
      </c>
      <c r="C208" s="2">
        <v>3</v>
      </c>
      <c r="D208" s="2">
        <v>45</v>
      </c>
      <c r="E208" s="2">
        <v>11</v>
      </c>
    </row>
    <row r="209" spans="1:5" x14ac:dyDescent="0.35">
      <c r="A209" s="2" t="s">
        <v>695</v>
      </c>
      <c r="B209" s="2">
        <v>2026</v>
      </c>
      <c r="C209" s="2">
        <v>3</v>
      </c>
      <c r="D209" s="2">
        <v>52</v>
      </c>
      <c r="E209" s="2">
        <v>9</v>
      </c>
    </row>
    <row r="210" spans="1:5" x14ac:dyDescent="0.35">
      <c r="A210" s="2" t="s">
        <v>698</v>
      </c>
      <c r="B210" s="2">
        <v>2026</v>
      </c>
      <c r="C210" s="2">
        <v>2</v>
      </c>
      <c r="D210" s="2">
        <v>56</v>
      </c>
      <c r="E210" s="2">
        <v>5</v>
      </c>
    </row>
    <row r="211" spans="1:5" x14ac:dyDescent="0.35">
      <c r="A211" s="2" t="s">
        <v>700</v>
      </c>
      <c r="B211" s="2">
        <v>2026</v>
      </c>
      <c r="C211" s="2">
        <v>5</v>
      </c>
      <c r="D211" s="2">
        <v>57</v>
      </c>
      <c r="E211" s="2">
        <v>5</v>
      </c>
    </row>
    <row r="212" spans="1:5" x14ac:dyDescent="0.35">
      <c r="A212" s="2" t="s">
        <v>703</v>
      </c>
      <c r="B212" s="2">
        <v>2026</v>
      </c>
      <c r="C212" s="2">
        <v>1</v>
      </c>
      <c r="D212" s="2">
        <v>44</v>
      </c>
      <c r="E212" s="2">
        <v>12</v>
      </c>
    </row>
    <row r="213" spans="1:5" x14ac:dyDescent="0.35">
      <c r="A213" s="2" t="s">
        <v>706</v>
      </c>
      <c r="B213" s="2">
        <v>2026</v>
      </c>
      <c r="C213" s="2">
        <v>4</v>
      </c>
      <c r="D213" s="2">
        <v>0</v>
      </c>
      <c r="E213" s="2">
        <v>5</v>
      </c>
    </row>
    <row r="214" spans="1:5" x14ac:dyDescent="0.35">
      <c r="A214" s="2" t="s">
        <v>709</v>
      </c>
      <c r="B214" s="2">
        <v>2026</v>
      </c>
      <c r="C214" s="2">
        <v>3</v>
      </c>
      <c r="D214" s="2">
        <v>2</v>
      </c>
      <c r="E214" s="2">
        <v>10</v>
      </c>
    </row>
    <row r="215" spans="1:5" x14ac:dyDescent="0.35">
      <c r="A215" s="2" t="s">
        <v>712</v>
      </c>
      <c r="B215" s="2">
        <v>2026</v>
      </c>
      <c r="C215" s="2">
        <v>3</v>
      </c>
      <c r="D215" s="2">
        <v>32</v>
      </c>
      <c r="E215" s="2">
        <v>4</v>
      </c>
    </row>
    <row r="216" spans="1:5" x14ac:dyDescent="0.35">
      <c r="A216" s="2" t="s">
        <v>715</v>
      </c>
      <c r="B216" s="2">
        <v>2026</v>
      </c>
      <c r="C216" s="2">
        <v>5</v>
      </c>
      <c r="D216" s="2">
        <v>45</v>
      </c>
      <c r="E216" s="2">
        <v>8</v>
      </c>
    </row>
    <row r="217" spans="1:5" x14ac:dyDescent="0.35">
      <c r="A217" s="2" t="s">
        <v>718</v>
      </c>
      <c r="B217" s="2">
        <v>2026</v>
      </c>
      <c r="C217" s="2">
        <v>3</v>
      </c>
      <c r="D217" s="2">
        <v>32</v>
      </c>
      <c r="E217" s="2">
        <v>9</v>
      </c>
    </row>
    <row r="218" spans="1:5" x14ac:dyDescent="0.35">
      <c r="A218" s="2" t="s">
        <v>721</v>
      </c>
      <c r="B218" s="2">
        <v>2026</v>
      </c>
      <c r="C218" s="2">
        <v>1</v>
      </c>
      <c r="D218" s="2">
        <v>47</v>
      </c>
      <c r="E218" s="2">
        <v>9</v>
      </c>
    </row>
    <row r="219" spans="1:5" x14ac:dyDescent="0.35">
      <c r="A219" s="2" t="s">
        <v>723</v>
      </c>
      <c r="B219" s="2">
        <v>2026</v>
      </c>
      <c r="C219" s="2">
        <v>3</v>
      </c>
      <c r="D219" s="2">
        <v>30</v>
      </c>
      <c r="E219" s="2">
        <v>9</v>
      </c>
    </row>
    <row r="220" spans="1:5" x14ac:dyDescent="0.35">
      <c r="A220" s="2" t="s">
        <v>726</v>
      </c>
      <c r="B220" s="2">
        <v>2026</v>
      </c>
      <c r="C220" s="2">
        <v>5</v>
      </c>
      <c r="D220" s="2">
        <v>48</v>
      </c>
      <c r="E220" s="2">
        <v>11</v>
      </c>
    </row>
    <row r="221" spans="1:5" x14ac:dyDescent="0.35">
      <c r="A221" s="2" t="s">
        <v>729</v>
      </c>
      <c r="B221" s="2">
        <v>2026</v>
      </c>
      <c r="C221" s="2">
        <v>2</v>
      </c>
      <c r="D221" s="2">
        <v>46</v>
      </c>
      <c r="E221" s="2">
        <v>7</v>
      </c>
    </row>
    <row r="222" spans="1:5" x14ac:dyDescent="0.35">
      <c r="A222" s="2" t="s">
        <v>731</v>
      </c>
      <c r="B222" s="2">
        <v>2026</v>
      </c>
      <c r="C222" s="2">
        <v>5</v>
      </c>
      <c r="D222" s="2">
        <v>59</v>
      </c>
      <c r="E222" s="2">
        <v>3</v>
      </c>
    </row>
    <row r="223" spans="1:5" x14ac:dyDescent="0.35">
      <c r="A223" s="2" t="s">
        <v>733</v>
      </c>
      <c r="B223" s="2">
        <v>2026</v>
      </c>
      <c r="C223" s="2">
        <v>5</v>
      </c>
      <c r="D223" s="2">
        <v>0</v>
      </c>
      <c r="E223" s="2">
        <v>3</v>
      </c>
    </row>
    <row r="224" spans="1:5" x14ac:dyDescent="0.35">
      <c r="A224" s="2" t="s">
        <v>736</v>
      </c>
      <c r="B224" s="2">
        <v>2026</v>
      </c>
      <c r="C224" s="2">
        <v>5</v>
      </c>
      <c r="D224" s="2">
        <v>40</v>
      </c>
      <c r="E224" s="2">
        <v>2</v>
      </c>
    </row>
    <row r="225" spans="1:5" x14ac:dyDescent="0.35">
      <c r="A225" s="2" t="s">
        <v>739</v>
      </c>
      <c r="B225" s="2">
        <v>2026</v>
      </c>
      <c r="C225" s="2">
        <v>1</v>
      </c>
      <c r="D225" s="2">
        <v>54</v>
      </c>
      <c r="E225" s="2">
        <v>6</v>
      </c>
    </row>
    <row r="226" spans="1:5" x14ac:dyDescent="0.35">
      <c r="A226" s="2" t="s">
        <v>742</v>
      </c>
      <c r="B226" s="2">
        <v>2026</v>
      </c>
      <c r="C226" s="2">
        <v>5</v>
      </c>
      <c r="D226" s="2">
        <v>51</v>
      </c>
      <c r="E226" s="2">
        <v>3</v>
      </c>
    </row>
    <row r="227" spans="1:5" x14ac:dyDescent="0.35">
      <c r="A227" s="2" t="s">
        <v>745</v>
      </c>
      <c r="B227" s="2">
        <v>2026</v>
      </c>
      <c r="C227" s="2">
        <v>2</v>
      </c>
      <c r="D227" s="2">
        <v>60</v>
      </c>
      <c r="E227" s="2">
        <v>2</v>
      </c>
    </row>
    <row r="228" spans="1:5" x14ac:dyDescent="0.35">
      <c r="A228" s="2" t="s">
        <v>748</v>
      </c>
      <c r="B228" s="2">
        <v>2026</v>
      </c>
      <c r="C228" s="2">
        <v>4</v>
      </c>
      <c r="D228" s="2">
        <v>8</v>
      </c>
      <c r="E228" s="2">
        <v>0</v>
      </c>
    </row>
    <row r="229" spans="1:5" x14ac:dyDescent="0.35">
      <c r="A229" s="2" t="s">
        <v>751</v>
      </c>
      <c r="B229" s="2">
        <v>2026</v>
      </c>
      <c r="C229" s="2">
        <v>5</v>
      </c>
      <c r="D229" s="2">
        <v>32</v>
      </c>
      <c r="E229" s="2">
        <v>0</v>
      </c>
    </row>
    <row r="230" spans="1:5" x14ac:dyDescent="0.35">
      <c r="A230" s="2" t="s">
        <v>754</v>
      </c>
      <c r="B230" s="2">
        <v>2026</v>
      </c>
      <c r="C230" s="2">
        <v>4</v>
      </c>
      <c r="D230" s="2">
        <v>1</v>
      </c>
      <c r="E230" s="2">
        <v>2</v>
      </c>
    </row>
    <row r="231" spans="1:5" x14ac:dyDescent="0.35">
      <c r="A231" s="2" t="s">
        <v>757</v>
      </c>
      <c r="B231" s="2">
        <v>2026</v>
      </c>
      <c r="C231" s="2">
        <v>5</v>
      </c>
      <c r="D231" s="2">
        <v>46</v>
      </c>
      <c r="E231" s="2">
        <v>8</v>
      </c>
    </row>
    <row r="232" spans="1:5" x14ac:dyDescent="0.35">
      <c r="A232" s="2" t="s">
        <v>760</v>
      </c>
      <c r="B232" s="2">
        <v>2026</v>
      </c>
      <c r="C232" s="2">
        <v>2</v>
      </c>
      <c r="D232" s="2">
        <v>60</v>
      </c>
      <c r="E232" s="2">
        <v>3</v>
      </c>
    </row>
    <row r="233" spans="1:5" x14ac:dyDescent="0.35">
      <c r="A233" s="2" t="s">
        <v>763</v>
      </c>
      <c r="B233" s="2">
        <v>2026</v>
      </c>
      <c r="C233" s="2">
        <v>2</v>
      </c>
      <c r="D233" s="2">
        <v>28</v>
      </c>
      <c r="E233" s="2">
        <v>0</v>
      </c>
    </row>
    <row r="234" spans="1:5" x14ac:dyDescent="0.35">
      <c r="A234" s="2" t="s">
        <v>766</v>
      </c>
      <c r="B234" s="2">
        <v>2026</v>
      </c>
      <c r="C234" s="2">
        <v>2</v>
      </c>
      <c r="D234" s="2">
        <v>18</v>
      </c>
      <c r="E234" s="2">
        <v>9</v>
      </c>
    </row>
    <row r="235" spans="1:5" x14ac:dyDescent="0.35">
      <c r="A235" s="2" t="s">
        <v>769</v>
      </c>
      <c r="B235" s="2">
        <v>2026</v>
      </c>
      <c r="C235" s="2">
        <v>4</v>
      </c>
      <c r="D235" s="2">
        <v>11</v>
      </c>
      <c r="E235" s="2">
        <v>10</v>
      </c>
    </row>
    <row r="236" spans="1:5" x14ac:dyDescent="0.35">
      <c r="A236" s="2" t="s">
        <v>772</v>
      </c>
      <c r="B236" s="2">
        <v>2026</v>
      </c>
      <c r="C236" s="2">
        <v>5</v>
      </c>
      <c r="D236" s="2">
        <v>55</v>
      </c>
      <c r="E236" s="2">
        <v>0</v>
      </c>
    </row>
    <row r="237" spans="1:5" x14ac:dyDescent="0.35">
      <c r="A237" s="2" t="s">
        <v>775</v>
      </c>
      <c r="B237" s="2">
        <v>2026</v>
      </c>
      <c r="C237" s="2">
        <v>4</v>
      </c>
      <c r="D237" s="2">
        <v>26</v>
      </c>
      <c r="E237" s="2">
        <v>11</v>
      </c>
    </row>
    <row r="238" spans="1:5" x14ac:dyDescent="0.35">
      <c r="A238" s="2" t="s">
        <v>778</v>
      </c>
      <c r="B238" s="2">
        <v>2026</v>
      </c>
      <c r="C238" s="2">
        <v>4</v>
      </c>
      <c r="D238" s="2">
        <v>9</v>
      </c>
      <c r="E238" s="2">
        <v>2</v>
      </c>
    </row>
    <row r="239" spans="1:5" x14ac:dyDescent="0.35">
      <c r="A239" s="2" t="s">
        <v>781</v>
      </c>
      <c r="B239" s="2">
        <v>2026</v>
      </c>
      <c r="C239" s="2">
        <v>4</v>
      </c>
      <c r="D239" s="2">
        <v>53</v>
      </c>
      <c r="E239" s="2">
        <v>12</v>
      </c>
    </row>
    <row r="240" spans="1:5" x14ac:dyDescent="0.35">
      <c r="A240" s="2" t="s">
        <v>784</v>
      </c>
      <c r="B240" s="2">
        <v>2026</v>
      </c>
      <c r="C240" s="2">
        <v>2</v>
      </c>
      <c r="D240" s="2">
        <v>10</v>
      </c>
      <c r="E240" s="2">
        <v>4</v>
      </c>
    </row>
    <row r="241" spans="1:5" x14ac:dyDescent="0.35">
      <c r="A241" s="2" t="s">
        <v>787</v>
      </c>
      <c r="B241" s="2">
        <v>2026</v>
      </c>
      <c r="C241" s="2">
        <v>2</v>
      </c>
      <c r="D241" s="2">
        <v>9</v>
      </c>
      <c r="E241" s="2">
        <v>7</v>
      </c>
    </row>
    <row r="242" spans="1:5" x14ac:dyDescent="0.35">
      <c r="A242" s="2" t="s">
        <v>790</v>
      </c>
      <c r="B242" s="2">
        <v>2026</v>
      </c>
      <c r="C242" s="2">
        <v>2</v>
      </c>
      <c r="D242" s="2">
        <v>26</v>
      </c>
      <c r="E242" s="2">
        <v>1</v>
      </c>
    </row>
    <row r="243" spans="1:5" x14ac:dyDescent="0.35">
      <c r="A243" s="2" t="s">
        <v>793</v>
      </c>
      <c r="B243" s="2">
        <v>2026</v>
      </c>
      <c r="C243" s="2">
        <v>2</v>
      </c>
      <c r="D243" s="2">
        <v>6</v>
      </c>
      <c r="E243" s="2">
        <v>9</v>
      </c>
    </row>
    <row r="244" spans="1:5" x14ac:dyDescent="0.35">
      <c r="A244" s="2" t="s">
        <v>796</v>
      </c>
      <c r="B244" s="2">
        <v>2026</v>
      </c>
      <c r="C244" s="2">
        <v>1</v>
      </c>
      <c r="D244" s="2">
        <v>8</v>
      </c>
      <c r="E244" s="2">
        <v>3</v>
      </c>
    </row>
    <row r="245" spans="1:5" x14ac:dyDescent="0.35">
      <c r="A245" s="2" t="s">
        <v>799</v>
      </c>
      <c r="B245" s="2">
        <v>2026</v>
      </c>
      <c r="C245" s="2">
        <v>4</v>
      </c>
      <c r="D245" s="2">
        <v>50</v>
      </c>
      <c r="E245" s="2">
        <v>0</v>
      </c>
    </row>
    <row r="246" spans="1:5" x14ac:dyDescent="0.35">
      <c r="A246" s="2" t="s">
        <v>801</v>
      </c>
      <c r="B246" s="2">
        <v>2026</v>
      </c>
      <c r="C246" s="2">
        <v>1</v>
      </c>
      <c r="D246" s="2">
        <v>21</v>
      </c>
      <c r="E246" s="2">
        <v>3</v>
      </c>
    </row>
    <row r="247" spans="1:5" x14ac:dyDescent="0.35">
      <c r="A247" s="2" t="s">
        <v>803</v>
      </c>
      <c r="B247" s="2">
        <v>2026</v>
      </c>
      <c r="C247" s="2">
        <v>4</v>
      </c>
      <c r="D247" s="2">
        <v>13</v>
      </c>
      <c r="E247" s="2">
        <v>2</v>
      </c>
    </row>
    <row r="248" spans="1:5" x14ac:dyDescent="0.35">
      <c r="A248" s="2" t="s">
        <v>806</v>
      </c>
      <c r="B248" s="2">
        <v>2026</v>
      </c>
      <c r="C248" s="2">
        <v>3</v>
      </c>
      <c r="D248" s="2">
        <v>41</v>
      </c>
      <c r="E248" s="2">
        <v>12</v>
      </c>
    </row>
    <row r="249" spans="1:5" x14ac:dyDescent="0.35">
      <c r="A249" s="2" t="s">
        <v>809</v>
      </c>
      <c r="B249" s="2">
        <v>2026</v>
      </c>
      <c r="C249" s="2">
        <v>5</v>
      </c>
      <c r="D249" s="2">
        <v>58</v>
      </c>
      <c r="E249" s="2">
        <v>0</v>
      </c>
    </row>
    <row r="250" spans="1:5" x14ac:dyDescent="0.35">
      <c r="A250" s="2" t="s">
        <v>812</v>
      </c>
      <c r="B250" s="2">
        <v>2026</v>
      </c>
      <c r="C250" s="2">
        <v>5</v>
      </c>
      <c r="D250" s="2">
        <v>34</v>
      </c>
      <c r="E250" s="2">
        <v>6</v>
      </c>
    </row>
    <row r="251" spans="1:5" x14ac:dyDescent="0.35">
      <c r="A251" s="2" t="s">
        <v>814</v>
      </c>
      <c r="B251" s="2">
        <v>2026</v>
      </c>
      <c r="C251" s="2">
        <v>5</v>
      </c>
      <c r="D251" s="2">
        <v>11</v>
      </c>
      <c r="E251" s="2">
        <v>6</v>
      </c>
    </row>
    <row r="252" spans="1:5" x14ac:dyDescent="0.35">
      <c r="A252" s="2" t="s">
        <v>817</v>
      </c>
      <c r="B252" s="2">
        <v>2026</v>
      </c>
      <c r="C252" s="2">
        <v>4</v>
      </c>
      <c r="D252" s="2">
        <v>29</v>
      </c>
      <c r="E252" s="2">
        <v>3</v>
      </c>
    </row>
    <row r="253" spans="1:5" x14ac:dyDescent="0.35">
      <c r="A253" s="2" t="s">
        <v>820</v>
      </c>
      <c r="B253" s="2">
        <v>2026</v>
      </c>
      <c r="C253" s="2">
        <v>3</v>
      </c>
      <c r="D253" s="2">
        <v>20</v>
      </c>
      <c r="E253" s="2">
        <v>4</v>
      </c>
    </row>
    <row r="254" spans="1:5" x14ac:dyDescent="0.35">
      <c r="A254" s="2" t="s">
        <v>822</v>
      </c>
      <c r="B254" s="2">
        <v>2026</v>
      </c>
      <c r="C254" s="2">
        <v>1</v>
      </c>
      <c r="D254" s="2">
        <v>32</v>
      </c>
      <c r="E254" s="2">
        <v>5</v>
      </c>
    </row>
    <row r="255" spans="1:5" x14ac:dyDescent="0.35">
      <c r="A255" s="2" t="s">
        <v>825</v>
      </c>
      <c r="B255" s="2">
        <v>2026</v>
      </c>
      <c r="C255" s="2">
        <v>5</v>
      </c>
      <c r="D255" s="2">
        <v>2</v>
      </c>
      <c r="E255" s="2">
        <v>11</v>
      </c>
    </row>
    <row r="256" spans="1:5" x14ac:dyDescent="0.35">
      <c r="A256" s="2" t="s">
        <v>828</v>
      </c>
      <c r="B256" s="2">
        <v>2026</v>
      </c>
      <c r="C256" s="2">
        <v>1</v>
      </c>
      <c r="D256" s="2">
        <v>50</v>
      </c>
      <c r="E256" s="2">
        <v>7</v>
      </c>
    </row>
    <row r="257" spans="1:5" x14ac:dyDescent="0.35">
      <c r="A257" s="2" t="s">
        <v>831</v>
      </c>
      <c r="B257" s="2">
        <v>2026</v>
      </c>
      <c r="C257" s="2">
        <v>4</v>
      </c>
      <c r="D257" s="2">
        <v>43</v>
      </c>
      <c r="E257" s="2">
        <v>6</v>
      </c>
    </row>
    <row r="258" spans="1:5" x14ac:dyDescent="0.35">
      <c r="A258" s="2" t="s">
        <v>834</v>
      </c>
      <c r="B258" s="2">
        <v>2026</v>
      </c>
      <c r="C258" s="2">
        <v>3</v>
      </c>
      <c r="D258" s="2">
        <v>55</v>
      </c>
      <c r="E258" s="2">
        <v>5</v>
      </c>
    </row>
    <row r="259" spans="1:5" x14ac:dyDescent="0.35">
      <c r="A259" s="2" t="s">
        <v>837</v>
      </c>
      <c r="B259" s="2">
        <v>2026</v>
      </c>
      <c r="C259" s="2">
        <v>2</v>
      </c>
      <c r="D259" s="2">
        <v>56</v>
      </c>
      <c r="E259" s="2">
        <v>9</v>
      </c>
    </row>
    <row r="260" spans="1:5" x14ac:dyDescent="0.35">
      <c r="A260" s="2" t="s">
        <v>840</v>
      </c>
      <c r="B260" s="2">
        <v>2026</v>
      </c>
      <c r="C260" s="2">
        <v>1</v>
      </c>
      <c r="D260" s="2">
        <v>2</v>
      </c>
      <c r="E260" s="2">
        <v>4</v>
      </c>
    </row>
    <row r="261" spans="1:5" x14ac:dyDescent="0.35">
      <c r="A261" s="2" t="s">
        <v>843</v>
      </c>
      <c r="B261" s="2">
        <v>2026</v>
      </c>
      <c r="C261" s="2">
        <v>3</v>
      </c>
      <c r="D261" s="2">
        <v>12</v>
      </c>
      <c r="E261" s="2">
        <v>12</v>
      </c>
    </row>
    <row r="262" spans="1:5" x14ac:dyDescent="0.35">
      <c r="A262" s="2" t="s">
        <v>845</v>
      </c>
      <c r="B262" s="2">
        <v>2026</v>
      </c>
      <c r="C262" s="2">
        <v>4</v>
      </c>
      <c r="D262" s="2">
        <v>38</v>
      </c>
      <c r="E262" s="2">
        <v>3</v>
      </c>
    </row>
    <row r="263" spans="1:5" x14ac:dyDescent="0.35">
      <c r="A263" s="2" t="s">
        <v>848</v>
      </c>
      <c r="B263" s="2">
        <v>2026</v>
      </c>
      <c r="C263" s="2">
        <v>2</v>
      </c>
      <c r="D263" s="2">
        <v>29</v>
      </c>
      <c r="E263" s="2">
        <v>3</v>
      </c>
    </row>
    <row r="264" spans="1:5" x14ac:dyDescent="0.35">
      <c r="A264" s="2" t="s">
        <v>850</v>
      </c>
      <c r="B264" s="2">
        <v>2026</v>
      </c>
      <c r="C264" s="2">
        <v>5</v>
      </c>
      <c r="D264" s="2">
        <v>45</v>
      </c>
      <c r="E264" s="2">
        <v>3</v>
      </c>
    </row>
    <row r="265" spans="1:5" x14ac:dyDescent="0.35">
      <c r="A265" s="2" t="s">
        <v>853</v>
      </c>
      <c r="B265" s="2">
        <v>2026</v>
      </c>
      <c r="C265" s="2">
        <v>2</v>
      </c>
      <c r="D265" s="2">
        <v>57</v>
      </c>
      <c r="E265" s="2">
        <v>0</v>
      </c>
    </row>
    <row r="266" spans="1:5" x14ac:dyDescent="0.35">
      <c r="A266" s="2" t="s">
        <v>856</v>
      </c>
      <c r="B266" s="2">
        <v>2026</v>
      </c>
      <c r="C266" s="2">
        <v>2</v>
      </c>
      <c r="D266" s="2">
        <v>47</v>
      </c>
      <c r="E266" s="2">
        <v>6</v>
      </c>
    </row>
    <row r="267" spans="1:5" x14ac:dyDescent="0.35">
      <c r="A267" s="2" t="s">
        <v>859</v>
      </c>
      <c r="B267" s="2">
        <v>2026</v>
      </c>
      <c r="C267" s="2">
        <v>4</v>
      </c>
      <c r="D267" s="2">
        <v>52</v>
      </c>
      <c r="E267" s="2">
        <v>4</v>
      </c>
    </row>
    <row r="268" spans="1:5" x14ac:dyDescent="0.35">
      <c r="A268" s="2" t="s">
        <v>862</v>
      </c>
      <c r="B268" s="2">
        <v>2026</v>
      </c>
      <c r="C268" s="2">
        <v>4</v>
      </c>
      <c r="D268" s="2">
        <v>47</v>
      </c>
      <c r="E268" s="2">
        <v>0</v>
      </c>
    </row>
    <row r="269" spans="1:5" x14ac:dyDescent="0.35">
      <c r="A269" s="2" t="s">
        <v>865</v>
      </c>
      <c r="B269" s="2">
        <v>2026</v>
      </c>
      <c r="C269" s="2">
        <v>2</v>
      </c>
      <c r="D269" s="2">
        <v>23</v>
      </c>
      <c r="E269" s="2">
        <v>11</v>
      </c>
    </row>
    <row r="270" spans="1:5" x14ac:dyDescent="0.35">
      <c r="A270" s="2" t="s">
        <v>868</v>
      </c>
      <c r="B270" s="2">
        <v>2026</v>
      </c>
      <c r="C270" s="2">
        <v>1</v>
      </c>
      <c r="D270" s="2">
        <v>40</v>
      </c>
      <c r="E270" s="2">
        <v>6</v>
      </c>
    </row>
    <row r="271" spans="1:5" x14ac:dyDescent="0.35">
      <c r="A271" s="2" t="s">
        <v>871</v>
      </c>
      <c r="B271" s="2">
        <v>2026</v>
      </c>
      <c r="C271" s="2">
        <v>4</v>
      </c>
      <c r="D271" s="2">
        <v>19</v>
      </c>
      <c r="E271" s="2">
        <v>6</v>
      </c>
    </row>
    <row r="272" spans="1:5" x14ac:dyDescent="0.35">
      <c r="A272" s="2" t="s">
        <v>874</v>
      </c>
      <c r="B272" s="2">
        <v>2026</v>
      </c>
      <c r="C272" s="2">
        <v>5</v>
      </c>
      <c r="D272" s="2">
        <v>25</v>
      </c>
      <c r="E272" s="2">
        <v>6</v>
      </c>
    </row>
    <row r="273" spans="1:5" x14ac:dyDescent="0.35">
      <c r="A273" s="2" t="s">
        <v>877</v>
      </c>
      <c r="B273" s="2">
        <v>2026</v>
      </c>
      <c r="C273" s="2">
        <v>4</v>
      </c>
      <c r="D273" s="2">
        <v>5</v>
      </c>
      <c r="E273" s="2">
        <v>6</v>
      </c>
    </row>
    <row r="274" spans="1:5" x14ac:dyDescent="0.35">
      <c r="A274" s="2" t="s">
        <v>880</v>
      </c>
      <c r="B274" s="2">
        <v>2026</v>
      </c>
      <c r="C274" s="2">
        <v>2</v>
      </c>
      <c r="D274" s="2">
        <v>53</v>
      </c>
      <c r="E274" s="2">
        <v>11</v>
      </c>
    </row>
    <row r="275" spans="1:5" x14ac:dyDescent="0.35">
      <c r="A275" s="2" t="s">
        <v>883</v>
      </c>
      <c r="B275" s="2">
        <v>2026</v>
      </c>
      <c r="C275" s="2">
        <v>4</v>
      </c>
      <c r="D275" s="2">
        <v>6</v>
      </c>
      <c r="E275" s="2">
        <v>0</v>
      </c>
    </row>
    <row r="276" spans="1:5" x14ac:dyDescent="0.35">
      <c r="A276" s="2" t="s">
        <v>886</v>
      </c>
      <c r="B276" s="2">
        <v>2026</v>
      </c>
      <c r="C276" s="2">
        <v>4</v>
      </c>
      <c r="D276" s="2">
        <v>6</v>
      </c>
      <c r="E276" s="2">
        <v>4</v>
      </c>
    </row>
    <row r="277" spans="1:5" x14ac:dyDescent="0.35">
      <c r="A277" s="2" t="s">
        <v>889</v>
      </c>
      <c r="B277" s="2">
        <v>2026</v>
      </c>
      <c r="C277" s="2">
        <v>2</v>
      </c>
      <c r="D277" s="2">
        <v>8</v>
      </c>
      <c r="E277" s="2">
        <v>5</v>
      </c>
    </row>
    <row r="278" spans="1:5" x14ac:dyDescent="0.35">
      <c r="A278" s="2" t="s">
        <v>892</v>
      </c>
      <c r="B278" s="2">
        <v>2026</v>
      </c>
      <c r="C278" s="2">
        <v>2</v>
      </c>
      <c r="D278" s="2">
        <v>51</v>
      </c>
      <c r="E278" s="2">
        <v>7</v>
      </c>
    </row>
    <row r="279" spans="1:5" x14ac:dyDescent="0.35">
      <c r="A279" s="2" t="s">
        <v>895</v>
      </c>
      <c r="B279" s="2">
        <v>2026</v>
      </c>
      <c r="C279" s="2">
        <v>2</v>
      </c>
      <c r="D279" s="2">
        <v>33</v>
      </c>
      <c r="E279" s="2">
        <v>0</v>
      </c>
    </row>
    <row r="280" spans="1:5" x14ac:dyDescent="0.35">
      <c r="A280" s="2" t="s">
        <v>898</v>
      </c>
      <c r="B280" s="2">
        <v>2026</v>
      </c>
      <c r="C280" s="2">
        <v>2</v>
      </c>
      <c r="D280" s="2">
        <v>31</v>
      </c>
      <c r="E280" s="2">
        <v>3</v>
      </c>
    </row>
    <row r="281" spans="1:5" x14ac:dyDescent="0.35">
      <c r="A281" s="2" t="s">
        <v>901</v>
      </c>
      <c r="B281" s="2">
        <v>2026</v>
      </c>
      <c r="C281" s="2">
        <v>1</v>
      </c>
      <c r="D281" s="2">
        <v>13</v>
      </c>
      <c r="E281" s="2">
        <v>0</v>
      </c>
    </row>
    <row r="282" spans="1:5" x14ac:dyDescent="0.35">
      <c r="A282" s="2" t="s">
        <v>904</v>
      </c>
      <c r="B282" s="2">
        <v>2026</v>
      </c>
      <c r="C282" s="2">
        <v>1</v>
      </c>
      <c r="D282" s="2">
        <v>47</v>
      </c>
      <c r="E282" s="2">
        <v>4</v>
      </c>
    </row>
    <row r="283" spans="1:5" x14ac:dyDescent="0.35">
      <c r="A283" s="2" t="s">
        <v>907</v>
      </c>
      <c r="B283" s="2">
        <v>2026</v>
      </c>
      <c r="C283" s="2">
        <v>1</v>
      </c>
      <c r="D283" s="2">
        <v>17</v>
      </c>
      <c r="E283" s="2">
        <v>11</v>
      </c>
    </row>
    <row r="284" spans="1:5" x14ac:dyDescent="0.35">
      <c r="A284" s="2" t="s">
        <v>910</v>
      </c>
      <c r="B284" s="2">
        <v>2026</v>
      </c>
      <c r="C284" s="2">
        <v>5</v>
      </c>
      <c r="D284" s="2">
        <v>1</v>
      </c>
      <c r="E284" s="2">
        <v>8</v>
      </c>
    </row>
    <row r="285" spans="1:5" x14ac:dyDescent="0.35">
      <c r="A285" s="2" t="s">
        <v>913</v>
      </c>
      <c r="B285" s="2">
        <v>2026</v>
      </c>
      <c r="C285" s="2">
        <v>2</v>
      </c>
      <c r="D285" s="2">
        <v>58</v>
      </c>
      <c r="E285" s="2">
        <v>6</v>
      </c>
    </row>
    <row r="286" spans="1:5" x14ac:dyDescent="0.35">
      <c r="A286" s="2" t="s">
        <v>915</v>
      </c>
      <c r="B286" s="2">
        <v>2026</v>
      </c>
      <c r="C286" s="2">
        <v>3</v>
      </c>
      <c r="D286" s="2">
        <v>37</v>
      </c>
      <c r="E286" s="2">
        <v>3</v>
      </c>
    </row>
    <row r="287" spans="1:5" x14ac:dyDescent="0.35">
      <c r="A287" s="2" t="s">
        <v>918</v>
      </c>
      <c r="B287" s="2">
        <v>2026</v>
      </c>
      <c r="C287" s="2">
        <v>3</v>
      </c>
      <c r="D287" s="2">
        <v>14</v>
      </c>
      <c r="E287" s="2">
        <v>2</v>
      </c>
    </row>
    <row r="288" spans="1:5" x14ac:dyDescent="0.35">
      <c r="A288" s="2" t="s">
        <v>921</v>
      </c>
      <c r="B288" s="2">
        <v>2026</v>
      </c>
      <c r="C288" s="2">
        <v>1</v>
      </c>
      <c r="D288" s="2">
        <v>22</v>
      </c>
      <c r="E288" s="2">
        <v>10</v>
      </c>
    </row>
    <row r="289" spans="1:5" x14ac:dyDescent="0.35">
      <c r="A289" s="2" t="s">
        <v>924</v>
      </c>
      <c r="B289" s="2">
        <v>2026</v>
      </c>
      <c r="C289" s="2">
        <v>4</v>
      </c>
      <c r="D289" s="2">
        <v>30</v>
      </c>
      <c r="E289" s="2">
        <v>10</v>
      </c>
    </row>
    <row r="290" spans="1:5" x14ac:dyDescent="0.35">
      <c r="A290" s="2" t="s">
        <v>927</v>
      </c>
      <c r="B290" s="2">
        <v>2026</v>
      </c>
      <c r="C290" s="2">
        <v>1</v>
      </c>
      <c r="D290" s="2">
        <v>44</v>
      </c>
      <c r="E290" s="2">
        <v>11</v>
      </c>
    </row>
    <row r="291" spans="1:5" x14ac:dyDescent="0.35">
      <c r="A291" s="2" t="s">
        <v>930</v>
      </c>
      <c r="B291" s="2">
        <v>2026</v>
      </c>
      <c r="C291" s="2">
        <v>5</v>
      </c>
      <c r="D291" s="2">
        <v>48</v>
      </c>
      <c r="E291" s="2">
        <v>12</v>
      </c>
    </row>
    <row r="292" spans="1:5" x14ac:dyDescent="0.35">
      <c r="A292" s="2" t="s">
        <v>933</v>
      </c>
      <c r="B292" s="2">
        <v>2026</v>
      </c>
      <c r="C292" s="2">
        <v>3</v>
      </c>
      <c r="D292" s="2">
        <v>39</v>
      </c>
      <c r="E292" s="2">
        <v>9</v>
      </c>
    </row>
    <row r="293" spans="1:5" x14ac:dyDescent="0.35">
      <c r="A293" s="2" t="s">
        <v>936</v>
      </c>
      <c r="B293" s="2">
        <v>2026</v>
      </c>
      <c r="C293" s="2">
        <v>3</v>
      </c>
      <c r="D293" s="2">
        <v>28</v>
      </c>
      <c r="E293" s="2">
        <v>8</v>
      </c>
    </row>
    <row r="294" spans="1:5" x14ac:dyDescent="0.35">
      <c r="A294" s="2" t="s">
        <v>939</v>
      </c>
      <c r="B294" s="2">
        <v>2026</v>
      </c>
      <c r="C294" s="2">
        <v>5</v>
      </c>
      <c r="D294" s="2">
        <v>2</v>
      </c>
      <c r="E294" s="2">
        <v>1</v>
      </c>
    </row>
    <row r="295" spans="1:5" x14ac:dyDescent="0.35">
      <c r="A295" s="2" t="s">
        <v>942</v>
      </c>
      <c r="B295" s="2">
        <v>2026</v>
      </c>
      <c r="C295" s="2">
        <v>3</v>
      </c>
      <c r="D295" s="2">
        <v>24</v>
      </c>
      <c r="E295" s="2">
        <v>5</v>
      </c>
    </row>
    <row r="296" spans="1:5" x14ac:dyDescent="0.35">
      <c r="A296" s="2" t="s">
        <v>945</v>
      </c>
      <c r="B296" s="2">
        <v>2026</v>
      </c>
      <c r="C296" s="2">
        <v>3</v>
      </c>
      <c r="D296" s="2">
        <v>4</v>
      </c>
      <c r="E296" s="2">
        <v>8</v>
      </c>
    </row>
    <row r="297" spans="1:5" x14ac:dyDescent="0.35">
      <c r="A297" s="2" t="s">
        <v>948</v>
      </c>
      <c r="B297" s="2">
        <v>2026</v>
      </c>
      <c r="C297" s="2">
        <v>3</v>
      </c>
      <c r="D297" s="2">
        <v>29</v>
      </c>
      <c r="E297" s="2">
        <v>0</v>
      </c>
    </row>
    <row r="298" spans="1:5" x14ac:dyDescent="0.35">
      <c r="A298" s="2" t="s">
        <v>951</v>
      </c>
      <c r="B298" s="2">
        <v>2026</v>
      </c>
      <c r="C298" s="2">
        <v>3</v>
      </c>
      <c r="D298" s="2">
        <v>41</v>
      </c>
      <c r="E298" s="2">
        <v>6</v>
      </c>
    </row>
    <row r="299" spans="1:5" x14ac:dyDescent="0.35">
      <c r="A299" s="2" t="s">
        <v>954</v>
      </c>
      <c r="B299" s="2">
        <v>2026</v>
      </c>
      <c r="C299" s="2">
        <v>3</v>
      </c>
      <c r="D299" s="2">
        <v>21</v>
      </c>
      <c r="E299" s="2">
        <v>10</v>
      </c>
    </row>
    <row r="300" spans="1:5" x14ac:dyDescent="0.35">
      <c r="A300" s="2" t="s">
        <v>957</v>
      </c>
      <c r="B300" s="2">
        <v>2026</v>
      </c>
      <c r="C300" s="2">
        <v>5</v>
      </c>
      <c r="D300" s="2">
        <v>31</v>
      </c>
      <c r="E300" s="2">
        <v>0</v>
      </c>
    </row>
    <row r="301" spans="1:5" x14ac:dyDescent="0.35">
      <c r="A301" s="2" t="s">
        <v>960</v>
      </c>
      <c r="B301" s="2">
        <v>2026</v>
      </c>
      <c r="C301" s="2">
        <v>1</v>
      </c>
      <c r="D301" s="2">
        <v>48</v>
      </c>
      <c r="E301" s="2">
        <v>8</v>
      </c>
    </row>
    <row r="302" spans="1:5" x14ac:dyDescent="0.35">
      <c r="A302" s="2" t="s">
        <v>963</v>
      </c>
      <c r="B302" s="2">
        <v>2026</v>
      </c>
      <c r="C302" s="2">
        <v>4</v>
      </c>
      <c r="D302" s="2">
        <v>28</v>
      </c>
      <c r="E302" s="2">
        <v>6</v>
      </c>
    </row>
    <row r="303" spans="1:5" x14ac:dyDescent="0.35">
      <c r="A303" s="2" t="s">
        <v>966</v>
      </c>
      <c r="B303" s="2">
        <v>2026</v>
      </c>
      <c r="C303" s="2">
        <v>2</v>
      </c>
      <c r="D303" s="2">
        <v>9</v>
      </c>
      <c r="E303" s="2">
        <v>12</v>
      </c>
    </row>
    <row r="304" spans="1:5" x14ac:dyDescent="0.35">
      <c r="A304" s="2" t="s">
        <v>968</v>
      </c>
      <c r="B304" s="2">
        <v>2026</v>
      </c>
      <c r="C304" s="2">
        <v>1</v>
      </c>
      <c r="D304" s="2">
        <v>57</v>
      </c>
      <c r="E304" s="2">
        <v>0</v>
      </c>
    </row>
    <row r="305" spans="1:5" x14ac:dyDescent="0.35">
      <c r="A305" s="2" t="s">
        <v>971</v>
      </c>
      <c r="B305" s="2">
        <v>2026</v>
      </c>
      <c r="C305" s="2">
        <v>5</v>
      </c>
      <c r="D305" s="2">
        <v>27</v>
      </c>
      <c r="E305" s="2">
        <v>0</v>
      </c>
    </row>
    <row r="306" spans="1:5" x14ac:dyDescent="0.35">
      <c r="A306" s="2" t="s">
        <v>974</v>
      </c>
      <c r="B306" s="2">
        <v>2026</v>
      </c>
      <c r="C306" s="2">
        <v>2</v>
      </c>
      <c r="D306" s="2">
        <v>19</v>
      </c>
      <c r="E306" s="2">
        <v>2</v>
      </c>
    </row>
    <row r="307" spans="1:5" x14ac:dyDescent="0.35">
      <c r="A307" s="2" t="s">
        <v>977</v>
      </c>
      <c r="B307" s="2">
        <v>2026</v>
      </c>
      <c r="C307" s="2">
        <v>2</v>
      </c>
      <c r="D307" s="2">
        <v>23</v>
      </c>
      <c r="E307" s="2">
        <v>5</v>
      </c>
    </row>
    <row r="308" spans="1:5" x14ac:dyDescent="0.35">
      <c r="A308" s="2" t="s">
        <v>980</v>
      </c>
      <c r="B308" s="2">
        <v>2026</v>
      </c>
      <c r="C308" s="2">
        <v>2</v>
      </c>
      <c r="D308" s="2">
        <v>38</v>
      </c>
      <c r="E308" s="2">
        <v>11</v>
      </c>
    </row>
    <row r="309" spans="1:5" x14ac:dyDescent="0.35">
      <c r="A309" s="2" t="s">
        <v>983</v>
      </c>
      <c r="B309" s="2">
        <v>2026</v>
      </c>
      <c r="C309" s="2">
        <v>3</v>
      </c>
      <c r="D309" s="2">
        <v>17</v>
      </c>
      <c r="E309" s="2">
        <v>8</v>
      </c>
    </row>
    <row r="310" spans="1:5" x14ac:dyDescent="0.35">
      <c r="A310" s="2" t="s">
        <v>986</v>
      </c>
      <c r="B310" s="2">
        <v>2026</v>
      </c>
      <c r="C310" s="2">
        <v>1</v>
      </c>
      <c r="D310" s="2">
        <v>26</v>
      </c>
      <c r="E310" s="2">
        <v>8</v>
      </c>
    </row>
    <row r="311" spans="1:5" x14ac:dyDescent="0.35">
      <c r="A311" s="2" t="s">
        <v>988</v>
      </c>
      <c r="B311" s="2">
        <v>2026</v>
      </c>
      <c r="C311" s="2">
        <v>3</v>
      </c>
      <c r="D311" s="2">
        <v>60</v>
      </c>
      <c r="E311" s="2">
        <v>12</v>
      </c>
    </row>
    <row r="312" spans="1:5" x14ac:dyDescent="0.35">
      <c r="A312" s="2" t="s">
        <v>991</v>
      </c>
      <c r="B312" s="2">
        <v>2026</v>
      </c>
      <c r="C312" s="2">
        <v>2</v>
      </c>
      <c r="D312" s="2">
        <v>44</v>
      </c>
      <c r="E312" s="2">
        <v>1</v>
      </c>
    </row>
    <row r="313" spans="1:5" x14ac:dyDescent="0.35">
      <c r="A313" s="2" t="s">
        <v>993</v>
      </c>
      <c r="B313" s="2">
        <v>2026</v>
      </c>
      <c r="C313" s="2">
        <v>4</v>
      </c>
      <c r="D313" s="2">
        <v>13</v>
      </c>
      <c r="E313" s="2">
        <v>5</v>
      </c>
    </row>
    <row r="314" spans="1:5" x14ac:dyDescent="0.35">
      <c r="A314" s="2" t="s">
        <v>996</v>
      </c>
      <c r="B314" s="2">
        <v>2026</v>
      </c>
      <c r="C314" s="2">
        <v>5</v>
      </c>
      <c r="D314" s="2">
        <v>50</v>
      </c>
      <c r="E314" s="2">
        <v>6</v>
      </c>
    </row>
    <row r="315" spans="1:5" x14ac:dyDescent="0.35">
      <c r="A315" s="2" t="s">
        <v>999</v>
      </c>
      <c r="B315" s="2">
        <v>2026</v>
      </c>
      <c r="C315" s="2">
        <v>3</v>
      </c>
      <c r="D315" s="2">
        <v>16</v>
      </c>
      <c r="E315" s="2">
        <v>5</v>
      </c>
    </row>
    <row r="316" spans="1:5" x14ac:dyDescent="0.35">
      <c r="A316" s="2" t="s">
        <v>1002</v>
      </c>
      <c r="B316" s="2">
        <v>2026</v>
      </c>
      <c r="C316" s="2">
        <v>1</v>
      </c>
      <c r="D316" s="2">
        <v>28</v>
      </c>
      <c r="E316" s="2">
        <v>8</v>
      </c>
    </row>
    <row r="317" spans="1:5" x14ac:dyDescent="0.35">
      <c r="A317" s="2" t="s">
        <v>1005</v>
      </c>
      <c r="B317" s="2">
        <v>2026</v>
      </c>
      <c r="C317" s="2">
        <v>5</v>
      </c>
      <c r="D317" s="2">
        <v>39</v>
      </c>
      <c r="E317" s="2">
        <v>7</v>
      </c>
    </row>
    <row r="318" spans="1:5" x14ac:dyDescent="0.35">
      <c r="A318" s="2" t="s">
        <v>1008</v>
      </c>
      <c r="B318" s="2">
        <v>2026</v>
      </c>
      <c r="C318" s="2">
        <v>2</v>
      </c>
      <c r="D318" s="2">
        <v>40</v>
      </c>
      <c r="E318" s="2">
        <v>3</v>
      </c>
    </row>
    <row r="319" spans="1:5" x14ac:dyDescent="0.35">
      <c r="A319" s="2" t="s">
        <v>1011</v>
      </c>
      <c r="B319" s="2">
        <v>2026</v>
      </c>
      <c r="C319" s="2">
        <v>2</v>
      </c>
      <c r="D319" s="2">
        <v>32</v>
      </c>
      <c r="E319" s="2">
        <v>5</v>
      </c>
    </row>
    <row r="320" spans="1:5" x14ac:dyDescent="0.35">
      <c r="A320" s="2" t="s">
        <v>1014</v>
      </c>
      <c r="B320" s="2">
        <v>2026</v>
      </c>
      <c r="C320" s="2">
        <v>3</v>
      </c>
      <c r="D320" s="2">
        <v>39</v>
      </c>
      <c r="E320" s="2">
        <v>11</v>
      </c>
    </row>
    <row r="321" spans="1:5" x14ac:dyDescent="0.35">
      <c r="A321" s="2" t="s">
        <v>1017</v>
      </c>
      <c r="B321" s="2">
        <v>2026</v>
      </c>
      <c r="C321" s="2">
        <v>2</v>
      </c>
      <c r="D321" s="2">
        <v>30</v>
      </c>
      <c r="E321" s="2">
        <v>12</v>
      </c>
    </row>
    <row r="322" spans="1:5" x14ac:dyDescent="0.35">
      <c r="A322" s="2" t="s">
        <v>1019</v>
      </c>
      <c r="B322" s="2">
        <v>2026</v>
      </c>
      <c r="C322" s="2">
        <v>5</v>
      </c>
      <c r="D322" s="2">
        <v>54</v>
      </c>
      <c r="E322" s="2">
        <v>9</v>
      </c>
    </row>
    <row r="323" spans="1:5" x14ac:dyDescent="0.35">
      <c r="A323" s="2" t="s">
        <v>1022</v>
      </c>
      <c r="B323" s="2">
        <v>2026</v>
      </c>
      <c r="C323" s="2">
        <v>3</v>
      </c>
      <c r="D323" s="2">
        <v>22</v>
      </c>
      <c r="E323" s="2">
        <v>5</v>
      </c>
    </row>
    <row r="324" spans="1:5" x14ac:dyDescent="0.35">
      <c r="A324" s="2" t="s">
        <v>1025</v>
      </c>
      <c r="B324" s="2">
        <v>2026</v>
      </c>
      <c r="C324" s="2">
        <v>3</v>
      </c>
      <c r="D324" s="2">
        <v>20</v>
      </c>
      <c r="E324" s="2">
        <v>11</v>
      </c>
    </row>
    <row r="325" spans="1:5" x14ac:dyDescent="0.35">
      <c r="A325" s="2" t="s">
        <v>1028</v>
      </c>
      <c r="B325" s="2">
        <v>2026</v>
      </c>
      <c r="C325" s="2">
        <v>4</v>
      </c>
      <c r="D325" s="2">
        <v>3</v>
      </c>
      <c r="E325" s="2">
        <v>4</v>
      </c>
    </row>
    <row r="326" spans="1:5" x14ac:dyDescent="0.35">
      <c r="A326" s="2" t="s">
        <v>1031</v>
      </c>
      <c r="B326" s="2">
        <v>2026</v>
      </c>
      <c r="C326" s="2">
        <v>1</v>
      </c>
      <c r="D326" s="2">
        <v>15</v>
      </c>
      <c r="E326" s="2">
        <v>12</v>
      </c>
    </row>
    <row r="327" spans="1:5" x14ac:dyDescent="0.35">
      <c r="A327" s="2" t="s">
        <v>1034</v>
      </c>
      <c r="B327" s="2">
        <v>2026</v>
      </c>
      <c r="C327" s="2">
        <v>1</v>
      </c>
      <c r="D327" s="2">
        <v>52</v>
      </c>
      <c r="E327" s="2">
        <v>0</v>
      </c>
    </row>
    <row r="328" spans="1:5" x14ac:dyDescent="0.35">
      <c r="A328" s="2" t="s">
        <v>1037</v>
      </c>
      <c r="B328" s="2">
        <v>2026</v>
      </c>
      <c r="C328" s="2">
        <v>5</v>
      </c>
      <c r="D328" s="2">
        <v>47</v>
      </c>
      <c r="E328" s="2">
        <v>8</v>
      </c>
    </row>
    <row r="329" spans="1:5" x14ac:dyDescent="0.35">
      <c r="A329" s="2" t="s">
        <v>1040</v>
      </c>
      <c r="B329" s="2">
        <v>2026</v>
      </c>
      <c r="C329" s="2">
        <v>5</v>
      </c>
      <c r="D329" s="2">
        <v>40</v>
      </c>
      <c r="E329" s="2">
        <v>7</v>
      </c>
    </row>
    <row r="330" spans="1:5" x14ac:dyDescent="0.35">
      <c r="A330" s="2" t="s">
        <v>1043</v>
      </c>
      <c r="B330" s="2">
        <v>2026</v>
      </c>
      <c r="C330" s="2">
        <v>5</v>
      </c>
      <c r="D330" s="2">
        <v>53</v>
      </c>
      <c r="E330" s="2">
        <v>5</v>
      </c>
    </row>
    <row r="331" spans="1:5" x14ac:dyDescent="0.35">
      <c r="A331" s="2" t="s">
        <v>1046</v>
      </c>
      <c r="B331" s="2">
        <v>2026</v>
      </c>
      <c r="C331" s="2">
        <v>1</v>
      </c>
      <c r="D331" s="2">
        <v>49</v>
      </c>
      <c r="E331" s="2">
        <v>1</v>
      </c>
    </row>
    <row r="332" spans="1:5" x14ac:dyDescent="0.35">
      <c r="A332" s="2" t="s">
        <v>1049</v>
      </c>
      <c r="B332" s="2">
        <v>2026</v>
      </c>
      <c r="C332" s="2">
        <v>1</v>
      </c>
      <c r="D332" s="2">
        <v>48</v>
      </c>
      <c r="E332" s="2">
        <v>7</v>
      </c>
    </row>
    <row r="333" spans="1:5" x14ac:dyDescent="0.35">
      <c r="A333" s="2" t="s">
        <v>1052</v>
      </c>
      <c r="B333" s="2">
        <v>2026</v>
      </c>
      <c r="C333" s="2">
        <v>5</v>
      </c>
      <c r="D333" s="2">
        <v>48</v>
      </c>
      <c r="E333" s="2">
        <v>12</v>
      </c>
    </row>
    <row r="334" spans="1:5" x14ac:dyDescent="0.35">
      <c r="A334" s="2" t="s">
        <v>1054</v>
      </c>
      <c r="B334" s="2">
        <v>2026</v>
      </c>
      <c r="C334" s="2">
        <v>3</v>
      </c>
      <c r="D334" s="2">
        <v>59</v>
      </c>
      <c r="E334" s="2">
        <v>8</v>
      </c>
    </row>
    <row r="335" spans="1:5" x14ac:dyDescent="0.35">
      <c r="A335" s="2" t="s">
        <v>1057</v>
      </c>
      <c r="B335" s="2">
        <v>2026</v>
      </c>
      <c r="C335" s="2">
        <v>3</v>
      </c>
      <c r="D335" s="2">
        <v>50</v>
      </c>
      <c r="E335" s="2">
        <v>0</v>
      </c>
    </row>
    <row r="336" spans="1:5" x14ac:dyDescent="0.35">
      <c r="A336" s="2" t="s">
        <v>1060</v>
      </c>
      <c r="B336" s="2">
        <v>2026</v>
      </c>
      <c r="C336" s="2">
        <v>1</v>
      </c>
      <c r="D336" s="2">
        <v>51</v>
      </c>
      <c r="E336" s="2">
        <v>7</v>
      </c>
    </row>
    <row r="337" spans="1:5" x14ac:dyDescent="0.35">
      <c r="A337" s="2" t="s">
        <v>1063</v>
      </c>
      <c r="B337" s="2">
        <v>2026</v>
      </c>
      <c r="C337" s="2">
        <v>2</v>
      </c>
      <c r="D337" s="2">
        <v>57</v>
      </c>
      <c r="E337" s="2">
        <v>8</v>
      </c>
    </row>
    <row r="338" spans="1:5" x14ac:dyDescent="0.35">
      <c r="A338" s="2" t="s">
        <v>1066</v>
      </c>
      <c r="B338" s="2">
        <v>2026</v>
      </c>
      <c r="C338" s="2">
        <v>1</v>
      </c>
      <c r="D338" s="2">
        <v>2</v>
      </c>
      <c r="E338" s="2">
        <v>1</v>
      </c>
    </row>
    <row r="339" spans="1:5" x14ac:dyDescent="0.35">
      <c r="A339" s="2" t="s">
        <v>1069</v>
      </c>
      <c r="B339" s="2">
        <v>2026</v>
      </c>
      <c r="C339" s="2">
        <v>1</v>
      </c>
      <c r="D339" s="2">
        <v>49</v>
      </c>
      <c r="E339" s="2">
        <v>0</v>
      </c>
    </row>
    <row r="340" spans="1:5" x14ac:dyDescent="0.35">
      <c r="A340" s="2" t="s">
        <v>1072</v>
      </c>
      <c r="B340" s="2">
        <v>2026</v>
      </c>
      <c r="C340" s="2">
        <v>3</v>
      </c>
      <c r="D340" s="2">
        <v>21</v>
      </c>
      <c r="E340" s="2">
        <v>6</v>
      </c>
    </row>
    <row r="341" spans="1:5" x14ac:dyDescent="0.35">
      <c r="A341" s="2" t="s">
        <v>1075</v>
      </c>
      <c r="B341" s="2">
        <v>2026</v>
      </c>
      <c r="C341" s="2">
        <v>3</v>
      </c>
      <c r="D341" s="2">
        <v>9</v>
      </c>
      <c r="E341" s="2">
        <v>8</v>
      </c>
    </row>
    <row r="342" spans="1:5" x14ac:dyDescent="0.35">
      <c r="A342" s="2" t="s">
        <v>1078</v>
      </c>
      <c r="B342" s="2">
        <v>2026</v>
      </c>
      <c r="C342" s="2">
        <v>2</v>
      </c>
      <c r="D342" s="2">
        <v>29</v>
      </c>
      <c r="E342" s="2">
        <v>12</v>
      </c>
    </row>
    <row r="343" spans="1:5" x14ac:dyDescent="0.35">
      <c r="A343" s="2" t="s">
        <v>1081</v>
      </c>
      <c r="B343" s="2">
        <v>2026</v>
      </c>
      <c r="C343" s="2">
        <v>5</v>
      </c>
      <c r="D343" s="2">
        <v>17</v>
      </c>
      <c r="E343" s="2">
        <v>0</v>
      </c>
    </row>
    <row r="344" spans="1:5" x14ac:dyDescent="0.35">
      <c r="A344" s="2" t="s">
        <v>1084</v>
      </c>
      <c r="B344" s="2">
        <v>2026</v>
      </c>
      <c r="C344" s="2">
        <v>4</v>
      </c>
      <c r="D344" s="2">
        <v>1</v>
      </c>
      <c r="E344" s="2">
        <v>5</v>
      </c>
    </row>
    <row r="345" spans="1:5" x14ac:dyDescent="0.35">
      <c r="A345" s="2" t="s">
        <v>1087</v>
      </c>
      <c r="B345" s="2">
        <v>2026</v>
      </c>
      <c r="C345" s="2">
        <v>5</v>
      </c>
      <c r="D345" s="2">
        <v>23</v>
      </c>
      <c r="E345" s="2">
        <v>9</v>
      </c>
    </row>
    <row r="346" spans="1:5" x14ac:dyDescent="0.35">
      <c r="A346" s="2" t="s">
        <v>1090</v>
      </c>
      <c r="B346" s="2">
        <v>2026</v>
      </c>
      <c r="C346" s="2">
        <v>2</v>
      </c>
      <c r="D346" s="2">
        <v>30</v>
      </c>
      <c r="E346" s="2">
        <v>9</v>
      </c>
    </row>
    <row r="347" spans="1:5" x14ac:dyDescent="0.35">
      <c r="A347" s="2" t="s">
        <v>1093</v>
      </c>
      <c r="B347" s="2">
        <v>2026</v>
      </c>
      <c r="C347" s="2">
        <v>3</v>
      </c>
      <c r="D347" s="2">
        <v>44</v>
      </c>
      <c r="E347" s="2">
        <v>4</v>
      </c>
    </row>
    <row r="348" spans="1:5" x14ac:dyDescent="0.35">
      <c r="A348" s="2" t="s">
        <v>1096</v>
      </c>
      <c r="B348" s="2">
        <v>2026</v>
      </c>
      <c r="C348" s="2">
        <v>1</v>
      </c>
      <c r="D348" s="2">
        <v>46</v>
      </c>
      <c r="E348" s="2">
        <v>8</v>
      </c>
    </row>
    <row r="349" spans="1:5" x14ac:dyDescent="0.35">
      <c r="A349" s="2" t="s">
        <v>1099</v>
      </c>
      <c r="B349" s="2">
        <v>2026</v>
      </c>
      <c r="C349" s="2">
        <v>2</v>
      </c>
      <c r="D349" s="2">
        <v>1</v>
      </c>
      <c r="E349" s="2">
        <v>4</v>
      </c>
    </row>
    <row r="350" spans="1:5" x14ac:dyDescent="0.35">
      <c r="A350" s="2" t="s">
        <v>1102</v>
      </c>
      <c r="B350" s="2">
        <v>2026</v>
      </c>
      <c r="C350" s="2">
        <v>3</v>
      </c>
      <c r="D350" s="2">
        <v>7</v>
      </c>
      <c r="E350" s="2">
        <v>1</v>
      </c>
    </row>
    <row r="351" spans="1:5" x14ac:dyDescent="0.35">
      <c r="A351" s="2" t="s">
        <v>1105</v>
      </c>
      <c r="B351" s="2">
        <v>2026</v>
      </c>
      <c r="C351" s="2">
        <v>4</v>
      </c>
      <c r="D351" s="2">
        <v>19</v>
      </c>
      <c r="E351" s="2">
        <v>3</v>
      </c>
    </row>
    <row r="352" spans="1:5" x14ac:dyDescent="0.35">
      <c r="A352" s="2" t="s">
        <v>1108</v>
      </c>
      <c r="B352" s="2">
        <v>2026</v>
      </c>
      <c r="C352" s="2">
        <v>2</v>
      </c>
      <c r="D352" s="2">
        <v>43</v>
      </c>
      <c r="E352" s="2">
        <v>8</v>
      </c>
    </row>
    <row r="353" spans="1:5" x14ac:dyDescent="0.35">
      <c r="A353" s="2" t="s">
        <v>1111</v>
      </c>
      <c r="B353" s="2">
        <v>2026</v>
      </c>
      <c r="C353" s="2">
        <v>2</v>
      </c>
      <c r="D353" s="2">
        <v>55</v>
      </c>
      <c r="E353" s="2">
        <v>3</v>
      </c>
    </row>
    <row r="354" spans="1:5" x14ac:dyDescent="0.35">
      <c r="A354" s="2" t="s">
        <v>1114</v>
      </c>
      <c r="B354" s="2">
        <v>2026</v>
      </c>
      <c r="C354" s="2">
        <v>1</v>
      </c>
      <c r="D354" s="2">
        <v>25</v>
      </c>
      <c r="E354" s="2">
        <v>2</v>
      </c>
    </row>
    <row r="355" spans="1:5" x14ac:dyDescent="0.35">
      <c r="A355" s="2" t="s">
        <v>1117</v>
      </c>
      <c r="B355" s="2">
        <v>2026</v>
      </c>
      <c r="C355" s="2">
        <v>1</v>
      </c>
      <c r="D355" s="2">
        <v>57</v>
      </c>
      <c r="E355" s="2">
        <v>3</v>
      </c>
    </row>
    <row r="356" spans="1:5" x14ac:dyDescent="0.35">
      <c r="A356" s="2" t="s">
        <v>1120</v>
      </c>
      <c r="B356" s="2">
        <v>2026</v>
      </c>
      <c r="C356" s="2">
        <v>5</v>
      </c>
      <c r="D356" s="2">
        <v>36</v>
      </c>
      <c r="E356" s="2">
        <v>11</v>
      </c>
    </row>
    <row r="357" spans="1:5" x14ac:dyDescent="0.35">
      <c r="A357" s="2" t="s">
        <v>1123</v>
      </c>
      <c r="B357" s="2">
        <v>2026</v>
      </c>
      <c r="C357" s="2">
        <v>1</v>
      </c>
      <c r="D357" s="2">
        <v>6</v>
      </c>
      <c r="E357" s="2">
        <v>10</v>
      </c>
    </row>
    <row r="358" spans="1:5" x14ac:dyDescent="0.35">
      <c r="A358" s="2" t="s">
        <v>1126</v>
      </c>
      <c r="B358" s="2">
        <v>2026</v>
      </c>
      <c r="C358" s="2">
        <v>4</v>
      </c>
      <c r="D358" s="2">
        <v>56</v>
      </c>
      <c r="E358" s="2">
        <v>3</v>
      </c>
    </row>
    <row r="359" spans="1:5" x14ac:dyDescent="0.35">
      <c r="A359" s="2" t="s">
        <v>1129</v>
      </c>
      <c r="B359" s="2">
        <v>2026</v>
      </c>
      <c r="C359" s="2">
        <v>5</v>
      </c>
      <c r="D359" s="2">
        <v>58</v>
      </c>
      <c r="E359" s="2">
        <v>3</v>
      </c>
    </row>
    <row r="360" spans="1:5" x14ac:dyDescent="0.35">
      <c r="A360" s="2" t="s">
        <v>1132</v>
      </c>
      <c r="B360" s="2">
        <v>2026</v>
      </c>
      <c r="C360" s="2">
        <v>3</v>
      </c>
      <c r="D360" s="2">
        <v>40</v>
      </c>
      <c r="E360" s="2">
        <v>5</v>
      </c>
    </row>
    <row r="361" spans="1:5" x14ac:dyDescent="0.35">
      <c r="A361" s="2" t="s">
        <v>1135</v>
      </c>
      <c r="B361" s="2">
        <v>2026</v>
      </c>
      <c r="C361" s="2">
        <v>3</v>
      </c>
      <c r="D361" s="2">
        <v>40</v>
      </c>
      <c r="E361" s="2">
        <v>5</v>
      </c>
    </row>
    <row r="362" spans="1:5" x14ac:dyDescent="0.35">
      <c r="A362" s="2" t="s">
        <v>1138</v>
      </c>
      <c r="B362" s="2">
        <v>2026</v>
      </c>
      <c r="C362" s="2">
        <v>4</v>
      </c>
      <c r="D362" s="2">
        <v>32</v>
      </c>
      <c r="E362" s="2">
        <v>4</v>
      </c>
    </row>
    <row r="363" spans="1:5" x14ac:dyDescent="0.35">
      <c r="A363" s="2" t="s">
        <v>1141</v>
      </c>
      <c r="B363" s="2">
        <v>2026</v>
      </c>
      <c r="C363" s="2">
        <v>5</v>
      </c>
      <c r="D363" s="2">
        <v>7</v>
      </c>
      <c r="E363" s="2">
        <v>4</v>
      </c>
    </row>
    <row r="364" spans="1:5" x14ac:dyDescent="0.35">
      <c r="A364" s="2" t="s">
        <v>1144</v>
      </c>
      <c r="B364" s="2">
        <v>2026</v>
      </c>
      <c r="C364" s="2">
        <v>5</v>
      </c>
      <c r="D364" s="2">
        <v>1</v>
      </c>
      <c r="E364" s="2">
        <v>4</v>
      </c>
    </row>
    <row r="365" spans="1:5" x14ac:dyDescent="0.35">
      <c r="A365" s="2" t="s">
        <v>1147</v>
      </c>
      <c r="B365" s="2">
        <v>2026</v>
      </c>
      <c r="C365" s="2">
        <v>3</v>
      </c>
      <c r="D365" s="2">
        <v>37</v>
      </c>
      <c r="E365" s="2">
        <v>10</v>
      </c>
    </row>
    <row r="366" spans="1:5" x14ac:dyDescent="0.35">
      <c r="A366" s="2" t="s">
        <v>1150</v>
      </c>
      <c r="B366" s="2">
        <v>2026</v>
      </c>
      <c r="C366" s="2">
        <v>3</v>
      </c>
      <c r="D366" s="2">
        <v>26</v>
      </c>
      <c r="E366" s="2">
        <v>3</v>
      </c>
    </row>
    <row r="367" spans="1:5" x14ac:dyDescent="0.35">
      <c r="A367" s="2" t="s">
        <v>1153</v>
      </c>
      <c r="B367" s="2">
        <v>2026</v>
      </c>
      <c r="C367" s="2">
        <v>3</v>
      </c>
      <c r="D367" s="2">
        <v>39</v>
      </c>
      <c r="E367" s="2">
        <v>7</v>
      </c>
    </row>
    <row r="368" spans="1:5" x14ac:dyDescent="0.35">
      <c r="A368" s="2" t="s">
        <v>1156</v>
      </c>
      <c r="B368" s="2">
        <v>2026</v>
      </c>
      <c r="C368" s="2">
        <v>5</v>
      </c>
      <c r="D368" s="2">
        <v>37</v>
      </c>
      <c r="E368" s="2">
        <v>3</v>
      </c>
    </row>
    <row r="369" spans="1:5" x14ac:dyDescent="0.35">
      <c r="A369" s="2" t="s">
        <v>1159</v>
      </c>
      <c r="B369" s="2">
        <v>2026</v>
      </c>
      <c r="C369" s="2">
        <v>2</v>
      </c>
      <c r="D369" s="2">
        <v>60</v>
      </c>
      <c r="E369" s="2">
        <v>10</v>
      </c>
    </row>
    <row r="370" spans="1:5" x14ac:dyDescent="0.35">
      <c r="A370" s="2" t="s">
        <v>1162</v>
      </c>
      <c r="B370" s="2">
        <v>2026</v>
      </c>
      <c r="C370" s="2">
        <v>5</v>
      </c>
      <c r="D370" s="2">
        <v>21</v>
      </c>
      <c r="E370" s="2">
        <v>9</v>
      </c>
    </row>
    <row r="371" spans="1:5" x14ac:dyDescent="0.35">
      <c r="A371" s="2" t="s">
        <v>1165</v>
      </c>
      <c r="B371" s="2">
        <v>2026</v>
      </c>
      <c r="C371" s="2">
        <v>2</v>
      </c>
      <c r="D371" s="2">
        <v>11</v>
      </c>
      <c r="E371" s="2">
        <v>8</v>
      </c>
    </row>
    <row r="372" spans="1:5" x14ac:dyDescent="0.35">
      <c r="A372" s="2" t="s">
        <v>1168</v>
      </c>
      <c r="B372" s="2">
        <v>2026</v>
      </c>
      <c r="C372" s="2">
        <v>4</v>
      </c>
      <c r="D372" s="2">
        <v>28</v>
      </c>
      <c r="E372" s="2">
        <v>2</v>
      </c>
    </row>
    <row r="373" spans="1:5" x14ac:dyDescent="0.35">
      <c r="A373" s="2" t="s">
        <v>1171</v>
      </c>
      <c r="B373" s="2">
        <v>2026</v>
      </c>
      <c r="C373" s="2">
        <v>1</v>
      </c>
      <c r="D373" s="2">
        <v>55</v>
      </c>
      <c r="E373" s="2">
        <v>7</v>
      </c>
    </row>
    <row r="374" spans="1:5" x14ac:dyDescent="0.35">
      <c r="A374" s="2" t="s">
        <v>1173</v>
      </c>
      <c r="B374" s="2">
        <v>2026</v>
      </c>
      <c r="C374" s="2">
        <v>5</v>
      </c>
      <c r="D374" s="2">
        <v>31</v>
      </c>
      <c r="E374" s="2">
        <v>12</v>
      </c>
    </row>
    <row r="375" spans="1:5" x14ac:dyDescent="0.35">
      <c r="A375" s="2" t="s">
        <v>1175</v>
      </c>
      <c r="B375" s="2">
        <v>2026</v>
      </c>
      <c r="C375" s="2">
        <v>5</v>
      </c>
      <c r="D375" s="2">
        <v>53</v>
      </c>
      <c r="E375" s="2">
        <v>11</v>
      </c>
    </row>
    <row r="376" spans="1:5" x14ac:dyDescent="0.35">
      <c r="A376" s="2" t="s">
        <v>1178</v>
      </c>
      <c r="B376" s="2">
        <v>2026</v>
      </c>
      <c r="C376" s="2">
        <v>3</v>
      </c>
      <c r="D376" s="2">
        <v>29</v>
      </c>
      <c r="E376" s="2">
        <v>3</v>
      </c>
    </row>
    <row r="377" spans="1:5" x14ac:dyDescent="0.35">
      <c r="A377" s="2" t="s">
        <v>1181</v>
      </c>
      <c r="B377" s="2">
        <v>2026</v>
      </c>
      <c r="C377" s="2">
        <v>3</v>
      </c>
      <c r="D377" s="2">
        <v>36</v>
      </c>
      <c r="E377" s="2">
        <v>4</v>
      </c>
    </row>
    <row r="378" spans="1:5" x14ac:dyDescent="0.35">
      <c r="A378" s="2" t="s">
        <v>1184</v>
      </c>
      <c r="B378" s="2">
        <v>2026</v>
      </c>
      <c r="C378" s="2">
        <v>1</v>
      </c>
      <c r="D378" s="2">
        <v>40</v>
      </c>
      <c r="E378" s="2">
        <v>8</v>
      </c>
    </row>
    <row r="379" spans="1:5" x14ac:dyDescent="0.35">
      <c r="A379" s="2" t="s">
        <v>1187</v>
      </c>
      <c r="B379" s="2">
        <v>2026</v>
      </c>
      <c r="C379" s="2">
        <v>3</v>
      </c>
      <c r="D379" s="2">
        <v>53</v>
      </c>
      <c r="E379" s="2">
        <v>2</v>
      </c>
    </row>
    <row r="380" spans="1:5" x14ac:dyDescent="0.35">
      <c r="A380" s="2" t="s">
        <v>1190</v>
      </c>
      <c r="B380" s="2">
        <v>2026</v>
      </c>
      <c r="C380" s="2">
        <v>3</v>
      </c>
      <c r="D380" s="2">
        <v>53</v>
      </c>
      <c r="E380" s="2">
        <v>4</v>
      </c>
    </row>
    <row r="381" spans="1:5" x14ac:dyDescent="0.35">
      <c r="A381" s="2" t="s">
        <v>1193</v>
      </c>
      <c r="B381" s="2">
        <v>2026</v>
      </c>
      <c r="C381" s="2">
        <v>2</v>
      </c>
      <c r="D381" s="2">
        <v>52</v>
      </c>
      <c r="E381" s="2">
        <v>9</v>
      </c>
    </row>
    <row r="382" spans="1:5" x14ac:dyDescent="0.35">
      <c r="A382" s="2" t="s">
        <v>1196</v>
      </c>
      <c r="B382" s="2">
        <v>2026</v>
      </c>
      <c r="C382" s="2">
        <v>4</v>
      </c>
      <c r="D382" s="2">
        <v>3</v>
      </c>
      <c r="E382" s="2">
        <v>4</v>
      </c>
    </row>
    <row r="383" spans="1:5" x14ac:dyDescent="0.35">
      <c r="A383" s="2" t="s">
        <v>1198</v>
      </c>
      <c r="B383" s="2">
        <v>2026</v>
      </c>
      <c r="C383" s="2">
        <v>3</v>
      </c>
      <c r="D383" s="2">
        <v>11</v>
      </c>
      <c r="E383" s="2">
        <v>11</v>
      </c>
    </row>
    <row r="384" spans="1:5" x14ac:dyDescent="0.35">
      <c r="A384" s="2" t="s">
        <v>1201</v>
      </c>
      <c r="B384" s="2">
        <v>2026</v>
      </c>
      <c r="C384" s="2">
        <v>4</v>
      </c>
      <c r="D384" s="2">
        <v>18</v>
      </c>
      <c r="E384" s="2">
        <v>10</v>
      </c>
    </row>
    <row r="385" spans="1:5" x14ac:dyDescent="0.35">
      <c r="A385" s="2" t="s">
        <v>1204</v>
      </c>
      <c r="B385" s="2">
        <v>2026</v>
      </c>
      <c r="C385" s="2">
        <v>2</v>
      </c>
      <c r="D385" s="2">
        <v>36</v>
      </c>
      <c r="E385" s="2">
        <v>5</v>
      </c>
    </row>
    <row r="386" spans="1:5" x14ac:dyDescent="0.35">
      <c r="A386" s="2" t="s">
        <v>1207</v>
      </c>
      <c r="B386" s="2">
        <v>2026</v>
      </c>
      <c r="C386" s="2">
        <v>4</v>
      </c>
      <c r="D386" s="2">
        <v>41</v>
      </c>
      <c r="E386" s="2">
        <v>5</v>
      </c>
    </row>
    <row r="387" spans="1:5" x14ac:dyDescent="0.35">
      <c r="A387" s="2" t="s">
        <v>1209</v>
      </c>
      <c r="B387" s="2">
        <v>2026</v>
      </c>
      <c r="C387" s="2">
        <v>4</v>
      </c>
      <c r="D387" s="2">
        <v>12</v>
      </c>
      <c r="E387" s="2">
        <v>2</v>
      </c>
    </row>
    <row r="388" spans="1:5" x14ac:dyDescent="0.35">
      <c r="A388" s="2" t="s">
        <v>1212</v>
      </c>
      <c r="B388" s="2">
        <v>2026</v>
      </c>
      <c r="C388" s="2">
        <v>1</v>
      </c>
      <c r="D388" s="2">
        <v>50</v>
      </c>
      <c r="E388" s="2">
        <v>5</v>
      </c>
    </row>
    <row r="389" spans="1:5" x14ac:dyDescent="0.35">
      <c r="A389" s="2" t="s">
        <v>1215</v>
      </c>
      <c r="B389" s="2">
        <v>2026</v>
      </c>
      <c r="C389" s="2">
        <v>1</v>
      </c>
      <c r="D389" s="2">
        <v>1</v>
      </c>
      <c r="E389" s="2">
        <v>8</v>
      </c>
    </row>
    <row r="390" spans="1:5" x14ac:dyDescent="0.35">
      <c r="A390" s="2" t="s">
        <v>1218</v>
      </c>
      <c r="B390" s="2">
        <v>2026</v>
      </c>
      <c r="C390" s="2">
        <v>3</v>
      </c>
      <c r="D390" s="2">
        <v>3</v>
      </c>
      <c r="E390" s="2">
        <v>4</v>
      </c>
    </row>
    <row r="391" spans="1:5" x14ac:dyDescent="0.35">
      <c r="A391" s="2" t="s">
        <v>1221</v>
      </c>
      <c r="B391" s="2">
        <v>2026</v>
      </c>
      <c r="C391" s="2">
        <v>5</v>
      </c>
      <c r="D391" s="2">
        <v>14</v>
      </c>
      <c r="E391" s="2">
        <v>10</v>
      </c>
    </row>
    <row r="392" spans="1:5" x14ac:dyDescent="0.35">
      <c r="A392" s="2" t="s">
        <v>1224</v>
      </c>
      <c r="B392" s="2">
        <v>2026</v>
      </c>
      <c r="C392" s="2">
        <v>5</v>
      </c>
      <c r="D392" s="2">
        <v>26</v>
      </c>
      <c r="E392" s="2">
        <v>2</v>
      </c>
    </row>
    <row r="393" spans="1:5" x14ac:dyDescent="0.35">
      <c r="A393" s="2" t="s">
        <v>1227</v>
      </c>
      <c r="B393" s="2">
        <v>2026</v>
      </c>
      <c r="C393" s="2">
        <v>4</v>
      </c>
      <c r="D393" s="2">
        <v>11</v>
      </c>
      <c r="E393" s="2">
        <v>0</v>
      </c>
    </row>
    <row r="394" spans="1:5" x14ac:dyDescent="0.35">
      <c r="A394" s="2" t="s">
        <v>1230</v>
      </c>
      <c r="B394" s="2">
        <v>2026</v>
      </c>
      <c r="C394" s="2">
        <v>4</v>
      </c>
      <c r="D394" s="2">
        <v>49</v>
      </c>
      <c r="E394" s="2">
        <v>12</v>
      </c>
    </row>
    <row r="395" spans="1:5" x14ac:dyDescent="0.35">
      <c r="A395" s="2" t="s">
        <v>1233</v>
      </c>
      <c r="B395" s="2">
        <v>2026</v>
      </c>
      <c r="C395" s="2">
        <v>4</v>
      </c>
      <c r="D395" s="2">
        <v>46</v>
      </c>
      <c r="E395" s="2">
        <v>9</v>
      </c>
    </row>
    <row r="396" spans="1:5" x14ac:dyDescent="0.35">
      <c r="A396" s="2" t="s">
        <v>1236</v>
      </c>
      <c r="B396" s="2">
        <v>2026</v>
      </c>
      <c r="C396" s="2">
        <v>2</v>
      </c>
      <c r="D396" s="2">
        <v>27</v>
      </c>
      <c r="E396" s="2">
        <v>12</v>
      </c>
    </row>
    <row r="397" spans="1:5" x14ac:dyDescent="0.35">
      <c r="A397" s="2" t="s">
        <v>1239</v>
      </c>
      <c r="B397" s="2">
        <v>2026</v>
      </c>
      <c r="C397" s="2">
        <v>5</v>
      </c>
      <c r="D397" s="2">
        <v>26</v>
      </c>
      <c r="E397" s="2">
        <v>5</v>
      </c>
    </row>
    <row r="398" spans="1:5" x14ac:dyDescent="0.35">
      <c r="A398" s="2" t="s">
        <v>1242</v>
      </c>
      <c r="B398" s="2">
        <v>2026</v>
      </c>
      <c r="C398" s="2">
        <v>4</v>
      </c>
      <c r="D398" s="2">
        <v>39</v>
      </c>
      <c r="E398" s="2">
        <v>4</v>
      </c>
    </row>
    <row r="399" spans="1:5" x14ac:dyDescent="0.35">
      <c r="A399" s="2" t="s">
        <v>1245</v>
      </c>
      <c r="B399" s="2">
        <v>2026</v>
      </c>
      <c r="C399" s="2">
        <v>3</v>
      </c>
      <c r="D399" s="2">
        <v>6</v>
      </c>
      <c r="E399" s="2">
        <v>0</v>
      </c>
    </row>
    <row r="400" spans="1:5" x14ac:dyDescent="0.35">
      <c r="A400" s="2" t="s">
        <v>1248</v>
      </c>
      <c r="B400" s="2">
        <v>2026</v>
      </c>
      <c r="C400" s="2">
        <v>1</v>
      </c>
      <c r="D400" s="2">
        <v>47</v>
      </c>
      <c r="E400" s="2">
        <v>5</v>
      </c>
    </row>
    <row r="401" spans="1:5" x14ac:dyDescent="0.35">
      <c r="A401" s="2" t="s">
        <v>1250</v>
      </c>
      <c r="B401" s="2">
        <v>2026</v>
      </c>
      <c r="C401" s="2">
        <v>5</v>
      </c>
      <c r="D401" s="2">
        <v>47</v>
      </c>
      <c r="E401" s="2">
        <v>6</v>
      </c>
    </row>
    <row r="402" spans="1:5" x14ac:dyDescent="0.35">
      <c r="A402" s="2" t="s">
        <v>1253</v>
      </c>
      <c r="B402" s="2">
        <v>2026</v>
      </c>
      <c r="C402" s="2">
        <v>5</v>
      </c>
      <c r="D402" s="2">
        <v>23</v>
      </c>
      <c r="E402" s="2">
        <v>4</v>
      </c>
    </row>
    <row r="403" spans="1:5" x14ac:dyDescent="0.35">
      <c r="A403" s="2" t="s">
        <v>1256</v>
      </c>
      <c r="B403" s="2">
        <v>2026</v>
      </c>
      <c r="C403" s="2">
        <v>2</v>
      </c>
      <c r="D403" s="2">
        <v>9</v>
      </c>
      <c r="E403" s="2">
        <v>11</v>
      </c>
    </row>
    <row r="404" spans="1:5" x14ac:dyDescent="0.35">
      <c r="A404" s="2" t="s">
        <v>1259</v>
      </c>
      <c r="B404" s="2">
        <v>2026</v>
      </c>
      <c r="C404" s="2">
        <v>1</v>
      </c>
      <c r="D404" s="2">
        <v>34</v>
      </c>
      <c r="E404" s="2">
        <v>6</v>
      </c>
    </row>
    <row r="405" spans="1:5" x14ac:dyDescent="0.35">
      <c r="A405" s="2" t="s">
        <v>1262</v>
      </c>
      <c r="B405" s="2">
        <v>2026</v>
      </c>
      <c r="C405" s="2">
        <v>2</v>
      </c>
      <c r="D405" s="2">
        <v>33</v>
      </c>
      <c r="E405" s="2">
        <v>7</v>
      </c>
    </row>
    <row r="406" spans="1:5" x14ac:dyDescent="0.35">
      <c r="A406" s="2" t="s">
        <v>1265</v>
      </c>
      <c r="B406" s="2">
        <v>2026</v>
      </c>
      <c r="C406" s="2">
        <v>4</v>
      </c>
      <c r="D406" s="2">
        <v>44</v>
      </c>
      <c r="E406" s="2">
        <v>9</v>
      </c>
    </row>
    <row r="407" spans="1:5" x14ac:dyDescent="0.35">
      <c r="A407" s="2" t="s">
        <v>1268</v>
      </c>
      <c r="B407" s="2">
        <v>2026</v>
      </c>
      <c r="C407" s="2">
        <v>3</v>
      </c>
      <c r="D407" s="2">
        <v>13</v>
      </c>
      <c r="E407" s="2">
        <v>1</v>
      </c>
    </row>
    <row r="408" spans="1:5" x14ac:dyDescent="0.35">
      <c r="A408" s="2" t="s">
        <v>1271</v>
      </c>
      <c r="B408" s="2">
        <v>2026</v>
      </c>
      <c r="C408" s="2">
        <v>3</v>
      </c>
      <c r="D408" s="2">
        <v>33</v>
      </c>
      <c r="E408" s="2">
        <v>4</v>
      </c>
    </row>
    <row r="409" spans="1:5" x14ac:dyDescent="0.35">
      <c r="A409" s="2" t="s">
        <v>1274</v>
      </c>
      <c r="B409" s="2">
        <v>2026</v>
      </c>
      <c r="C409" s="2">
        <v>5</v>
      </c>
      <c r="D409" s="2">
        <v>36</v>
      </c>
      <c r="E409" s="2">
        <v>0</v>
      </c>
    </row>
    <row r="410" spans="1:5" x14ac:dyDescent="0.35">
      <c r="A410" s="2" t="s">
        <v>1277</v>
      </c>
      <c r="B410" s="2">
        <v>2026</v>
      </c>
      <c r="C410" s="2">
        <v>1</v>
      </c>
      <c r="D410" s="2">
        <v>39</v>
      </c>
      <c r="E410" s="2">
        <v>7</v>
      </c>
    </row>
    <row r="411" spans="1:5" x14ac:dyDescent="0.35">
      <c r="A411" s="2" t="s">
        <v>1280</v>
      </c>
      <c r="B411" s="2">
        <v>2026</v>
      </c>
      <c r="C411" s="2">
        <v>5</v>
      </c>
      <c r="D411" s="2">
        <v>22</v>
      </c>
      <c r="E411" s="2">
        <v>8</v>
      </c>
    </row>
    <row r="412" spans="1:5" x14ac:dyDescent="0.35">
      <c r="A412" s="2" t="s">
        <v>1283</v>
      </c>
      <c r="B412" s="2">
        <v>2026</v>
      </c>
      <c r="C412" s="2">
        <v>1</v>
      </c>
      <c r="D412" s="2">
        <v>57</v>
      </c>
      <c r="E412" s="2">
        <v>0</v>
      </c>
    </row>
    <row r="413" spans="1:5" x14ac:dyDescent="0.35">
      <c r="A413" s="2" t="s">
        <v>1286</v>
      </c>
      <c r="B413" s="2">
        <v>2026</v>
      </c>
      <c r="C413" s="2">
        <v>3</v>
      </c>
      <c r="D413" s="2">
        <v>30</v>
      </c>
      <c r="E413" s="2">
        <v>6</v>
      </c>
    </row>
    <row r="414" spans="1:5" x14ac:dyDescent="0.35">
      <c r="A414" s="2" t="s">
        <v>1289</v>
      </c>
      <c r="B414" s="2">
        <v>2026</v>
      </c>
      <c r="C414" s="2">
        <v>4</v>
      </c>
      <c r="D414" s="2">
        <v>24</v>
      </c>
      <c r="E414" s="2">
        <v>4</v>
      </c>
    </row>
    <row r="415" spans="1:5" x14ac:dyDescent="0.35">
      <c r="A415" s="2" t="s">
        <v>1292</v>
      </c>
      <c r="B415" s="2">
        <v>2026</v>
      </c>
      <c r="C415" s="2">
        <v>3</v>
      </c>
      <c r="D415" s="2">
        <v>10</v>
      </c>
      <c r="E415" s="2">
        <v>3</v>
      </c>
    </row>
    <row r="416" spans="1:5" x14ac:dyDescent="0.35">
      <c r="A416" s="2" t="s">
        <v>1295</v>
      </c>
      <c r="B416" s="2">
        <v>2026</v>
      </c>
      <c r="C416" s="2">
        <v>1</v>
      </c>
      <c r="D416" s="2">
        <v>22</v>
      </c>
      <c r="E416" s="2">
        <v>7</v>
      </c>
    </row>
    <row r="417" spans="1:5" x14ac:dyDescent="0.35">
      <c r="A417" s="2" t="s">
        <v>1298</v>
      </c>
      <c r="B417" s="2">
        <v>2026</v>
      </c>
      <c r="C417" s="2">
        <v>2</v>
      </c>
      <c r="D417" s="2">
        <v>3</v>
      </c>
      <c r="E417" s="2">
        <v>0</v>
      </c>
    </row>
    <row r="418" spans="1:5" x14ac:dyDescent="0.35">
      <c r="A418" s="2" t="s">
        <v>1301</v>
      </c>
      <c r="B418" s="2">
        <v>2026</v>
      </c>
      <c r="C418" s="2">
        <v>1</v>
      </c>
      <c r="D418" s="2">
        <v>45</v>
      </c>
      <c r="E418" s="2">
        <v>8</v>
      </c>
    </row>
    <row r="419" spans="1:5" x14ac:dyDescent="0.35">
      <c r="A419" s="2" t="s">
        <v>1304</v>
      </c>
      <c r="B419" s="2">
        <v>2026</v>
      </c>
      <c r="C419" s="2">
        <v>3</v>
      </c>
      <c r="D419" s="2">
        <v>31</v>
      </c>
      <c r="E419" s="2">
        <v>9</v>
      </c>
    </row>
    <row r="420" spans="1:5" x14ac:dyDescent="0.35">
      <c r="A420" s="2" t="s">
        <v>1307</v>
      </c>
      <c r="B420" s="2">
        <v>2026</v>
      </c>
      <c r="C420" s="2">
        <v>3</v>
      </c>
      <c r="D420" s="2">
        <v>47</v>
      </c>
      <c r="E420" s="2">
        <v>0</v>
      </c>
    </row>
    <row r="421" spans="1:5" x14ac:dyDescent="0.35">
      <c r="A421" s="2" t="s">
        <v>1310</v>
      </c>
      <c r="B421" s="2">
        <v>2026</v>
      </c>
      <c r="C421" s="2">
        <v>1</v>
      </c>
      <c r="D421" s="2">
        <v>18</v>
      </c>
      <c r="E421" s="2">
        <v>2</v>
      </c>
    </row>
    <row r="422" spans="1:5" x14ac:dyDescent="0.35">
      <c r="A422" s="2" t="s">
        <v>1313</v>
      </c>
      <c r="B422" s="2">
        <v>2026</v>
      </c>
      <c r="C422" s="2">
        <v>1</v>
      </c>
      <c r="D422" s="2">
        <v>25</v>
      </c>
      <c r="E422" s="2">
        <v>6</v>
      </c>
    </row>
    <row r="423" spans="1:5" x14ac:dyDescent="0.35">
      <c r="A423" s="2" t="s">
        <v>1316</v>
      </c>
      <c r="B423" s="2">
        <v>2026</v>
      </c>
      <c r="C423" s="2">
        <v>4</v>
      </c>
      <c r="D423" s="2">
        <v>60</v>
      </c>
      <c r="E423" s="2">
        <v>6</v>
      </c>
    </row>
    <row r="424" spans="1:5" x14ac:dyDescent="0.35">
      <c r="A424" s="2" t="s">
        <v>1319</v>
      </c>
      <c r="B424" s="2">
        <v>2026</v>
      </c>
      <c r="C424" s="2">
        <v>4</v>
      </c>
      <c r="D424" s="2">
        <v>53</v>
      </c>
      <c r="E424" s="2">
        <v>8</v>
      </c>
    </row>
    <row r="425" spans="1:5" x14ac:dyDescent="0.35">
      <c r="A425" s="2" t="s">
        <v>1322</v>
      </c>
      <c r="B425" s="2">
        <v>2026</v>
      </c>
      <c r="C425" s="2">
        <v>3</v>
      </c>
      <c r="D425" s="2">
        <v>17</v>
      </c>
      <c r="E425" s="2">
        <v>9</v>
      </c>
    </row>
    <row r="426" spans="1:5" x14ac:dyDescent="0.35">
      <c r="A426" s="2" t="s">
        <v>1325</v>
      </c>
      <c r="B426" s="2">
        <v>2026</v>
      </c>
      <c r="C426" s="2">
        <v>2</v>
      </c>
      <c r="D426" s="2">
        <v>25</v>
      </c>
      <c r="E426" s="2">
        <v>7</v>
      </c>
    </row>
    <row r="427" spans="1:5" x14ac:dyDescent="0.35">
      <c r="A427" s="2" t="s">
        <v>1328</v>
      </c>
      <c r="B427" s="2">
        <v>2026</v>
      </c>
      <c r="C427" s="2">
        <v>5</v>
      </c>
      <c r="D427" s="2">
        <v>42</v>
      </c>
      <c r="E427" s="2">
        <v>2</v>
      </c>
    </row>
    <row r="428" spans="1:5" x14ac:dyDescent="0.35">
      <c r="A428" s="2" t="s">
        <v>1331</v>
      </c>
      <c r="B428" s="2">
        <v>2026</v>
      </c>
      <c r="C428" s="2">
        <v>3</v>
      </c>
      <c r="D428" s="2">
        <v>2</v>
      </c>
      <c r="E428" s="2">
        <v>2</v>
      </c>
    </row>
    <row r="429" spans="1:5" x14ac:dyDescent="0.35">
      <c r="A429" s="2" t="s">
        <v>1334</v>
      </c>
      <c r="B429" s="2">
        <v>2026</v>
      </c>
      <c r="C429" s="2">
        <v>2</v>
      </c>
      <c r="D429" s="2">
        <v>19</v>
      </c>
      <c r="E429" s="2">
        <v>3</v>
      </c>
    </row>
    <row r="430" spans="1:5" x14ac:dyDescent="0.35">
      <c r="A430" s="2" t="s">
        <v>1336</v>
      </c>
      <c r="B430" s="2">
        <v>2026</v>
      </c>
      <c r="C430" s="2">
        <v>1</v>
      </c>
      <c r="D430" s="2">
        <v>35</v>
      </c>
      <c r="E430" s="2">
        <v>5</v>
      </c>
    </row>
    <row r="431" spans="1:5" x14ac:dyDescent="0.35">
      <c r="A431" s="2" t="s">
        <v>1338</v>
      </c>
      <c r="B431" s="2">
        <v>2026</v>
      </c>
      <c r="C431" s="2">
        <v>5</v>
      </c>
      <c r="D431" s="2">
        <v>12</v>
      </c>
      <c r="E431" s="2">
        <v>7</v>
      </c>
    </row>
    <row r="432" spans="1:5" x14ac:dyDescent="0.35">
      <c r="A432" s="2" t="s">
        <v>1341</v>
      </c>
      <c r="B432" s="2">
        <v>2026</v>
      </c>
      <c r="C432" s="2">
        <v>2</v>
      </c>
      <c r="D432" s="2">
        <v>55</v>
      </c>
      <c r="E432" s="2">
        <v>3</v>
      </c>
    </row>
    <row r="433" spans="1:5" x14ac:dyDescent="0.35">
      <c r="A433" s="2" t="s">
        <v>1344</v>
      </c>
      <c r="B433" s="2">
        <v>2026</v>
      </c>
      <c r="C433" s="2">
        <v>4</v>
      </c>
      <c r="D433" s="2">
        <v>41</v>
      </c>
      <c r="E433" s="2">
        <v>7</v>
      </c>
    </row>
    <row r="434" spans="1:5" x14ac:dyDescent="0.35">
      <c r="A434" s="2" t="s">
        <v>1347</v>
      </c>
      <c r="B434" s="2">
        <v>2026</v>
      </c>
      <c r="C434" s="2">
        <v>1</v>
      </c>
      <c r="D434" s="2">
        <v>45</v>
      </c>
      <c r="E434" s="2">
        <v>7</v>
      </c>
    </row>
    <row r="435" spans="1:5" x14ac:dyDescent="0.35">
      <c r="A435" s="2" t="s">
        <v>1350</v>
      </c>
      <c r="B435" s="2">
        <v>2026</v>
      </c>
      <c r="C435" s="2">
        <v>4</v>
      </c>
      <c r="D435" s="2">
        <v>51</v>
      </c>
      <c r="E435" s="2">
        <v>9</v>
      </c>
    </row>
    <row r="436" spans="1:5" x14ac:dyDescent="0.35">
      <c r="A436" s="2" t="s">
        <v>1353</v>
      </c>
      <c r="B436" s="2">
        <v>2026</v>
      </c>
      <c r="C436" s="2">
        <v>1</v>
      </c>
      <c r="D436" s="2">
        <v>5</v>
      </c>
      <c r="E436" s="2">
        <v>10</v>
      </c>
    </row>
    <row r="437" spans="1:5" x14ac:dyDescent="0.35">
      <c r="A437" s="2" t="s">
        <v>1355</v>
      </c>
      <c r="B437" s="2">
        <v>2026</v>
      </c>
      <c r="C437" s="2">
        <v>1</v>
      </c>
      <c r="D437" s="2">
        <v>27</v>
      </c>
      <c r="E437" s="2">
        <v>9</v>
      </c>
    </row>
    <row r="438" spans="1:5" x14ac:dyDescent="0.35">
      <c r="A438" s="2" t="s">
        <v>1357</v>
      </c>
      <c r="B438" s="2">
        <v>2026</v>
      </c>
      <c r="C438" s="2">
        <v>2</v>
      </c>
      <c r="D438" s="2">
        <v>41</v>
      </c>
      <c r="E438" s="2">
        <v>5</v>
      </c>
    </row>
    <row r="439" spans="1:5" x14ac:dyDescent="0.35">
      <c r="A439" s="2" t="s">
        <v>1360</v>
      </c>
      <c r="B439" s="2">
        <v>2026</v>
      </c>
      <c r="C439" s="2">
        <v>2</v>
      </c>
      <c r="D439" s="2">
        <v>58</v>
      </c>
      <c r="E439" s="2">
        <v>11</v>
      </c>
    </row>
    <row r="440" spans="1:5" x14ac:dyDescent="0.35">
      <c r="A440" s="2" t="s">
        <v>1363</v>
      </c>
      <c r="B440" s="2">
        <v>2026</v>
      </c>
      <c r="C440" s="2">
        <v>2</v>
      </c>
      <c r="D440" s="2">
        <v>58</v>
      </c>
      <c r="E440" s="2">
        <v>9</v>
      </c>
    </row>
    <row r="441" spans="1:5" x14ac:dyDescent="0.35">
      <c r="A441" s="2" t="s">
        <v>1366</v>
      </c>
      <c r="B441" s="2">
        <v>2026</v>
      </c>
      <c r="C441" s="2">
        <v>4</v>
      </c>
      <c r="D441" s="2">
        <v>28</v>
      </c>
      <c r="E441" s="2">
        <v>1</v>
      </c>
    </row>
    <row r="442" spans="1:5" x14ac:dyDescent="0.35">
      <c r="A442" s="2" t="s">
        <v>1368</v>
      </c>
      <c r="B442" s="2">
        <v>2026</v>
      </c>
      <c r="C442" s="2">
        <v>2</v>
      </c>
      <c r="D442" s="2">
        <v>35</v>
      </c>
      <c r="E442" s="2">
        <v>12</v>
      </c>
    </row>
    <row r="443" spans="1:5" x14ac:dyDescent="0.35">
      <c r="A443" s="2" t="s">
        <v>1371</v>
      </c>
      <c r="B443" s="2">
        <v>2026</v>
      </c>
      <c r="C443" s="2">
        <v>2</v>
      </c>
      <c r="D443" s="2">
        <v>37</v>
      </c>
      <c r="E443" s="2">
        <v>6</v>
      </c>
    </row>
    <row r="444" spans="1:5" x14ac:dyDescent="0.35">
      <c r="A444" s="2" t="s">
        <v>1374</v>
      </c>
      <c r="B444" s="2">
        <v>2026</v>
      </c>
      <c r="C444" s="2">
        <v>2</v>
      </c>
      <c r="D444" s="2">
        <v>51</v>
      </c>
      <c r="E444" s="2">
        <v>2</v>
      </c>
    </row>
    <row r="445" spans="1:5" x14ac:dyDescent="0.35">
      <c r="A445" s="2" t="s">
        <v>1377</v>
      </c>
      <c r="B445" s="2">
        <v>2026</v>
      </c>
      <c r="C445" s="2">
        <v>2</v>
      </c>
      <c r="D445" s="2">
        <v>13</v>
      </c>
      <c r="E445" s="2">
        <v>5</v>
      </c>
    </row>
    <row r="446" spans="1:5" x14ac:dyDescent="0.35">
      <c r="A446" s="2" t="s">
        <v>1380</v>
      </c>
      <c r="B446" s="2">
        <v>2026</v>
      </c>
      <c r="C446" s="2">
        <v>2</v>
      </c>
      <c r="D446" s="2">
        <v>27</v>
      </c>
      <c r="E446" s="2">
        <v>10</v>
      </c>
    </row>
    <row r="447" spans="1:5" x14ac:dyDescent="0.35">
      <c r="A447" s="2" t="s">
        <v>1383</v>
      </c>
      <c r="B447" s="2">
        <v>2026</v>
      </c>
      <c r="C447" s="2">
        <v>1</v>
      </c>
      <c r="D447" s="2">
        <v>58</v>
      </c>
      <c r="E447" s="2">
        <v>11</v>
      </c>
    </row>
    <row r="448" spans="1:5" x14ac:dyDescent="0.35">
      <c r="A448" s="2" t="s">
        <v>1386</v>
      </c>
      <c r="B448" s="2">
        <v>2026</v>
      </c>
      <c r="C448" s="2">
        <v>1</v>
      </c>
      <c r="D448" s="2">
        <v>32</v>
      </c>
      <c r="E448" s="2">
        <v>10</v>
      </c>
    </row>
    <row r="449" spans="1:5" x14ac:dyDescent="0.35">
      <c r="A449" s="2" t="s">
        <v>1389</v>
      </c>
      <c r="B449" s="2">
        <v>2026</v>
      </c>
      <c r="C449" s="2">
        <v>4</v>
      </c>
      <c r="D449" s="2">
        <v>57</v>
      </c>
      <c r="E449" s="2">
        <v>6</v>
      </c>
    </row>
    <row r="450" spans="1:5" x14ac:dyDescent="0.35">
      <c r="A450" s="2" t="s">
        <v>1392</v>
      </c>
      <c r="B450" s="2">
        <v>2026</v>
      </c>
      <c r="C450" s="2">
        <v>1</v>
      </c>
      <c r="D450" s="2">
        <v>32</v>
      </c>
      <c r="E450" s="2">
        <v>0</v>
      </c>
    </row>
    <row r="451" spans="1:5" x14ac:dyDescent="0.35">
      <c r="A451" s="2" t="s">
        <v>1395</v>
      </c>
      <c r="B451" s="2">
        <v>2026</v>
      </c>
      <c r="C451" s="2">
        <v>2</v>
      </c>
      <c r="D451" s="2">
        <v>59</v>
      </c>
      <c r="E451" s="2">
        <v>9</v>
      </c>
    </row>
    <row r="452" spans="1:5" x14ac:dyDescent="0.35">
      <c r="A452" s="2" t="s">
        <v>1398</v>
      </c>
      <c r="B452" s="2">
        <v>2026</v>
      </c>
      <c r="C452" s="2">
        <v>5</v>
      </c>
      <c r="D452" s="2">
        <v>49</v>
      </c>
      <c r="E452" s="2">
        <v>6</v>
      </c>
    </row>
    <row r="453" spans="1:5" x14ac:dyDescent="0.35">
      <c r="A453" s="2" t="s">
        <v>1401</v>
      </c>
      <c r="B453" s="2">
        <v>2026</v>
      </c>
      <c r="C453" s="2">
        <v>3</v>
      </c>
      <c r="D453" s="2">
        <v>5</v>
      </c>
      <c r="E453" s="2">
        <v>1</v>
      </c>
    </row>
    <row r="454" spans="1:5" x14ac:dyDescent="0.35">
      <c r="A454" s="2" t="s">
        <v>1404</v>
      </c>
      <c r="B454" s="2">
        <v>2026</v>
      </c>
      <c r="C454" s="2">
        <v>4</v>
      </c>
      <c r="D454" s="2">
        <v>58</v>
      </c>
      <c r="E454" s="2">
        <v>10</v>
      </c>
    </row>
    <row r="455" spans="1:5" x14ac:dyDescent="0.35">
      <c r="A455" s="2" t="s">
        <v>1407</v>
      </c>
      <c r="B455" s="2">
        <v>2026</v>
      </c>
      <c r="C455" s="2">
        <v>2</v>
      </c>
      <c r="D455" s="2">
        <v>35</v>
      </c>
      <c r="E455" s="2">
        <v>4</v>
      </c>
    </row>
    <row r="456" spans="1:5" x14ac:dyDescent="0.35">
      <c r="A456" s="2" t="s">
        <v>1410</v>
      </c>
      <c r="B456" s="2">
        <v>2026</v>
      </c>
      <c r="C456" s="2">
        <v>3</v>
      </c>
      <c r="D456" s="2">
        <v>1</v>
      </c>
      <c r="E456" s="2">
        <v>1</v>
      </c>
    </row>
    <row r="457" spans="1:5" x14ac:dyDescent="0.35">
      <c r="A457" s="2" t="s">
        <v>1413</v>
      </c>
      <c r="B457" s="2">
        <v>2026</v>
      </c>
      <c r="C457" s="2">
        <v>4</v>
      </c>
      <c r="D457" s="2">
        <v>17</v>
      </c>
      <c r="E457" s="2">
        <v>5</v>
      </c>
    </row>
    <row r="458" spans="1:5" x14ac:dyDescent="0.35">
      <c r="A458" s="2" t="s">
        <v>1416</v>
      </c>
      <c r="B458" s="2">
        <v>2026</v>
      </c>
      <c r="C458" s="2">
        <v>1</v>
      </c>
      <c r="D458" s="2">
        <v>47</v>
      </c>
      <c r="E458" s="2">
        <v>7</v>
      </c>
    </row>
    <row r="459" spans="1:5" x14ac:dyDescent="0.35">
      <c r="A459" s="2" t="s">
        <v>1419</v>
      </c>
      <c r="B459" s="2">
        <v>2026</v>
      </c>
      <c r="C459" s="2">
        <v>4</v>
      </c>
      <c r="D459" s="2">
        <v>18</v>
      </c>
      <c r="E459" s="2">
        <v>3</v>
      </c>
    </row>
    <row r="460" spans="1:5" x14ac:dyDescent="0.35">
      <c r="A460" s="2" t="s">
        <v>1422</v>
      </c>
      <c r="B460" s="2">
        <v>2026</v>
      </c>
      <c r="C460" s="2">
        <v>3</v>
      </c>
      <c r="D460" s="2">
        <v>21</v>
      </c>
      <c r="E460" s="2">
        <v>12</v>
      </c>
    </row>
    <row r="461" spans="1:5" x14ac:dyDescent="0.35">
      <c r="A461" s="2" t="s">
        <v>1425</v>
      </c>
      <c r="B461" s="2">
        <v>2026</v>
      </c>
      <c r="C461" s="2">
        <v>1</v>
      </c>
      <c r="D461" s="2">
        <v>41</v>
      </c>
      <c r="E461" s="2">
        <v>5</v>
      </c>
    </row>
    <row r="462" spans="1:5" x14ac:dyDescent="0.35">
      <c r="A462" s="2" t="s">
        <v>1427</v>
      </c>
      <c r="B462" s="2">
        <v>2026</v>
      </c>
      <c r="C462" s="2">
        <v>2</v>
      </c>
      <c r="D462" s="2">
        <v>29</v>
      </c>
      <c r="E462" s="2">
        <v>0</v>
      </c>
    </row>
    <row r="463" spans="1:5" x14ac:dyDescent="0.35">
      <c r="A463" s="2" t="s">
        <v>1430</v>
      </c>
      <c r="B463" s="2">
        <v>2026</v>
      </c>
      <c r="C463" s="2">
        <v>2</v>
      </c>
      <c r="D463" s="2">
        <v>21</v>
      </c>
      <c r="E463" s="2">
        <v>0</v>
      </c>
    </row>
    <row r="464" spans="1:5" x14ac:dyDescent="0.35">
      <c r="A464" s="2" t="s">
        <v>1433</v>
      </c>
      <c r="B464" s="2">
        <v>2026</v>
      </c>
      <c r="C464" s="2">
        <v>1</v>
      </c>
      <c r="D464" s="2">
        <v>1</v>
      </c>
      <c r="E464" s="2">
        <v>5</v>
      </c>
    </row>
    <row r="465" spans="1:5" x14ac:dyDescent="0.35">
      <c r="A465" s="2" t="s">
        <v>1436</v>
      </c>
      <c r="B465" s="2">
        <v>2026</v>
      </c>
      <c r="C465" s="2">
        <v>4</v>
      </c>
      <c r="D465" s="2">
        <v>30</v>
      </c>
      <c r="E465" s="2">
        <v>9</v>
      </c>
    </row>
    <row r="466" spans="1:5" x14ac:dyDescent="0.35">
      <c r="A466" s="2" t="s">
        <v>1439</v>
      </c>
      <c r="B466" s="2">
        <v>2026</v>
      </c>
      <c r="C466" s="2">
        <v>3</v>
      </c>
      <c r="D466" s="2">
        <v>35</v>
      </c>
      <c r="E466" s="2">
        <v>9</v>
      </c>
    </row>
    <row r="467" spans="1:5" x14ac:dyDescent="0.35">
      <c r="A467" s="2" t="s">
        <v>1442</v>
      </c>
      <c r="B467" s="2">
        <v>2026</v>
      </c>
      <c r="C467" s="2">
        <v>1</v>
      </c>
      <c r="D467" s="2">
        <v>25</v>
      </c>
      <c r="E467" s="2">
        <v>5</v>
      </c>
    </row>
    <row r="468" spans="1:5" x14ac:dyDescent="0.35">
      <c r="A468" s="2" t="s">
        <v>1445</v>
      </c>
      <c r="B468" s="2">
        <v>2026</v>
      </c>
      <c r="C468" s="2">
        <v>2</v>
      </c>
      <c r="D468" s="2">
        <v>44</v>
      </c>
      <c r="E468" s="2">
        <v>2</v>
      </c>
    </row>
    <row r="469" spans="1:5" x14ac:dyDescent="0.35">
      <c r="A469" s="2" t="s">
        <v>1448</v>
      </c>
      <c r="B469" s="2">
        <v>2026</v>
      </c>
      <c r="C469" s="2">
        <v>2</v>
      </c>
      <c r="D469" s="2">
        <v>38</v>
      </c>
      <c r="E469" s="2">
        <v>11</v>
      </c>
    </row>
    <row r="470" spans="1:5" x14ac:dyDescent="0.35">
      <c r="A470" s="2" t="s">
        <v>1451</v>
      </c>
      <c r="B470" s="2">
        <v>2026</v>
      </c>
      <c r="C470" s="2">
        <v>4</v>
      </c>
      <c r="D470" s="2">
        <v>56</v>
      </c>
      <c r="E470" s="2">
        <v>6</v>
      </c>
    </row>
    <row r="471" spans="1:5" x14ac:dyDescent="0.35">
      <c r="A471" s="2" t="s">
        <v>1454</v>
      </c>
      <c r="B471" s="2">
        <v>2026</v>
      </c>
      <c r="C471" s="2">
        <v>1</v>
      </c>
      <c r="D471" s="2">
        <v>20</v>
      </c>
      <c r="E471" s="2">
        <v>4</v>
      </c>
    </row>
    <row r="472" spans="1:5" x14ac:dyDescent="0.35">
      <c r="A472" s="2" t="s">
        <v>1457</v>
      </c>
      <c r="B472" s="2">
        <v>2026</v>
      </c>
      <c r="C472" s="2">
        <v>4</v>
      </c>
      <c r="D472" s="2">
        <v>28</v>
      </c>
      <c r="E472" s="2">
        <v>4</v>
      </c>
    </row>
    <row r="473" spans="1:5" x14ac:dyDescent="0.35">
      <c r="A473" s="2" t="s">
        <v>1459</v>
      </c>
      <c r="B473" s="2">
        <v>2026</v>
      </c>
      <c r="C473" s="2">
        <v>4</v>
      </c>
      <c r="D473" s="2">
        <v>30</v>
      </c>
      <c r="E473" s="2">
        <v>5</v>
      </c>
    </row>
    <row r="474" spans="1:5" x14ac:dyDescent="0.35">
      <c r="A474" s="2" t="s">
        <v>1462</v>
      </c>
      <c r="B474" s="2">
        <v>2026</v>
      </c>
      <c r="C474" s="2">
        <v>5</v>
      </c>
      <c r="D474" s="2">
        <v>47</v>
      </c>
      <c r="E474" s="2">
        <v>4</v>
      </c>
    </row>
    <row r="475" spans="1:5" x14ac:dyDescent="0.35">
      <c r="A475" s="2" t="s">
        <v>1464</v>
      </c>
      <c r="B475" s="2">
        <v>2026</v>
      </c>
      <c r="C475" s="2">
        <v>4</v>
      </c>
      <c r="D475" s="2">
        <v>32</v>
      </c>
      <c r="E475" s="2">
        <v>8</v>
      </c>
    </row>
    <row r="476" spans="1:5" x14ac:dyDescent="0.35">
      <c r="A476" s="2" t="s">
        <v>1467</v>
      </c>
      <c r="B476" s="2">
        <v>2026</v>
      </c>
      <c r="C476" s="2">
        <v>4</v>
      </c>
      <c r="D476" s="2">
        <v>25</v>
      </c>
      <c r="E476" s="2">
        <v>1</v>
      </c>
    </row>
    <row r="477" spans="1:5" x14ac:dyDescent="0.35">
      <c r="A477" s="2" t="s">
        <v>1469</v>
      </c>
      <c r="B477" s="2">
        <v>2026</v>
      </c>
      <c r="C477" s="2">
        <v>5</v>
      </c>
      <c r="D477" s="2">
        <v>20</v>
      </c>
      <c r="E477" s="2">
        <v>3</v>
      </c>
    </row>
    <row r="478" spans="1:5" x14ac:dyDescent="0.35">
      <c r="A478" s="2" t="s">
        <v>1472</v>
      </c>
      <c r="B478" s="2">
        <v>2026</v>
      </c>
      <c r="C478" s="2">
        <v>3</v>
      </c>
      <c r="D478" s="2">
        <v>50</v>
      </c>
      <c r="E478" s="2">
        <v>11</v>
      </c>
    </row>
    <row r="479" spans="1:5" x14ac:dyDescent="0.35">
      <c r="A479" s="2" t="s">
        <v>1475</v>
      </c>
      <c r="B479" s="2">
        <v>2026</v>
      </c>
      <c r="C479" s="2">
        <v>3</v>
      </c>
      <c r="D479" s="2">
        <v>17</v>
      </c>
      <c r="E479" s="2">
        <v>0</v>
      </c>
    </row>
    <row r="480" spans="1:5" x14ac:dyDescent="0.35">
      <c r="A480" s="2" t="s">
        <v>1477</v>
      </c>
      <c r="B480" s="2">
        <v>2026</v>
      </c>
      <c r="C480" s="2">
        <v>3</v>
      </c>
      <c r="D480" s="2">
        <v>28</v>
      </c>
      <c r="E480" s="2">
        <v>9</v>
      </c>
    </row>
    <row r="481" spans="1:5" x14ac:dyDescent="0.35">
      <c r="A481" s="2" t="s">
        <v>1480</v>
      </c>
      <c r="B481" s="2">
        <v>2026</v>
      </c>
      <c r="C481" s="2">
        <v>2</v>
      </c>
      <c r="D481" s="2">
        <v>19</v>
      </c>
      <c r="E481" s="2">
        <v>10</v>
      </c>
    </row>
    <row r="482" spans="1:5" x14ac:dyDescent="0.35">
      <c r="A482" s="2" t="s">
        <v>1483</v>
      </c>
      <c r="B482" s="2">
        <v>2026</v>
      </c>
      <c r="C482" s="2">
        <v>5</v>
      </c>
      <c r="D482" s="2">
        <v>1</v>
      </c>
      <c r="E482" s="2">
        <v>3</v>
      </c>
    </row>
    <row r="483" spans="1:5" x14ac:dyDescent="0.35">
      <c r="A483" s="2" t="s">
        <v>1486</v>
      </c>
      <c r="B483" s="2">
        <v>2026</v>
      </c>
      <c r="C483" s="2">
        <v>3</v>
      </c>
      <c r="D483" s="2">
        <v>16</v>
      </c>
      <c r="E483" s="2">
        <v>2</v>
      </c>
    </row>
    <row r="484" spans="1:5" x14ac:dyDescent="0.35">
      <c r="A484" s="2" t="s">
        <v>1489</v>
      </c>
      <c r="B484" s="2">
        <v>2026</v>
      </c>
      <c r="C484" s="2">
        <v>3</v>
      </c>
      <c r="D484" s="2">
        <v>32</v>
      </c>
      <c r="E484" s="2">
        <v>6</v>
      </c>
    </row>
    <row r="485" spans="1:5" x14ac:dyDescent="0.35">
      <c r="A485" s="2" t="s">
        <v>1492</v>
      </c>
      <c r="B485" s="2">
        <v>2026</v>
      </c>
      <c r="C485" s="2">
        <v>2</v>
      </c>
      <c r="D485" s="2">
        <v>52</v>
      </c>
      <c r="E485" s="2">
        <v>2</v>
      </c>
    </row>
    <row r="486" spans="1:5" x14ac:dyDescent="0.35">
      <c r="A486" s="2" t="s">
        <v>1495</v>
      </c>
      <c r="B486" s="2">
        <v>2026</v>
      </c>
      <c r="C486" s="2">
        <v>4</v>
      </c>
      <c r="D486" s="2">
        <v>14</v>
      </c>
      <c r="E486" s="2">
        <v>4</v>
      </c>
    </row>
    <row r="487" spans="1:5" x14ac:dyDescent="0.35">
      <c r="A487" s="2" t="s">
        <v>1498</v>
      </c>
      <c r="B487" s="2">
        <v>2026</v>
      </c>
      <c r="C487" s="2">
        <v>4</v>
      </c>
      <c r="D487" s="2">
        <v>15</v>
      </c>
      <c r="E487" s="2">
        <v>6</v>
      </c>
    </row>
    <row r="488" spans="1:5" x14ac:dyDescent="0.35">
      <c r="A488" s="2" t="s">
        <v>1501</v>
      </c>
      <c r="B488" s="2">
        <v>2026</v>
      </c>
      <c r="C488" s="2">
        <v>2</v>
      </c>
      <c r="D488" s="2">
        <v>45</v>
      </c>
      <c r="E488" s="2">
        <v>8</v>
      </c>
    </row>
    <row r="489" spans="1:5" x14ac:dyDescent="0.35">
      <c r="A489" s="2" t="s">
        <v>1504</v>
      </c>
      <c r="B489" s="2">
        <v>2026</v>
      </c>
      <c r="C489" s="2">
        <v>1</v>
      </c>
      <c r="D489" s="2">
        <v>30</v>
      </c>
      <c r="E489" s="2">
        <v>3</v>
      </c>
    </row>
    <row r="490" spans="1:5" x14ac:dyDescent="0.35">
      <c r="A490" s="2" t="s">
        <v>1507</v>
      </c>
      <c r="B490" s="2">
        <v>2026</v>
      </c>
      <c r="C490" s="2">
        <v>5</v>
      </c>
      <c r="D490" s="2">
        <v>1</v>
      </c>
      <c r="E490" s="2">
        <v>2</v>
      </c>
    </row>
    <row r="491" spans="1:5" x14ac:dyDescent="0.35">
      <c r="A491" s="2" t="s">
        <v>1509</v>
      </c>
      <c r="B491" s="2">
        <v>2026</v>
      </c>
      <c r="C491" s="2">
        <v>2</v>
      </c>
      <c r="D491" s="2">
        <v>54</v>
      </c>
      <c r="E491" s="2">
        <v>11</v>
      </c>
    </row>
    <row r="492" spans="1:5" x14ac:dyDescent="0.35">
      <c r="A492" s="2" t="s">
        <v>1512</v>
      </c>
      <c r="B492" s="2">
        <v>2026</v>
      </c>
      <c r="C492" s="2">
        <v>4</v>
      </c>
      <c r="D492" s="2">
        <v>9</v>
      </c>
      <c r="E492" s="2">
        <v>6</v>
      </c>
    </row>
    <row r="493" spans="1:5" x14ac:dyDescent="0.35">
      <c r="A493" s="2" t="s">
        <v>1514</v>
      </c>
      <c r="B493" s="2">
        <v>2026</v>
      </c>
      <c r="C493" s="2">
        <v>5</v>
      </c>
      <c r="D493" s="2">
        <v>33</v>
      </c>
      <c r="E493" s="2">
        <v>7</v>
      </c>
    </row>
    <row r="494" spans="1:5" x14ac:dyDescent="0.35">
      <c r="A494" s="2" t="s">
        <v>1517</v>
      </c>
      <c r="B494" s="2">
        <v>2026</v>
      </c>
      <c r="C494" s="2">
        <v>1</v>
      </c>
      <c r="D494" s="2">
        <v>18</v>
      </c>
      <c r="E494" s="2">
        <v>12</v>
      </c>
    </row>
    <row r="495" spans="1:5" x14ac:dyDescent="0.35">
      <c r="A495" s="2" t="s">
        <v>1519</v>
      </c>
      <c r="B495" s="2">
        <v>2026</v>
      </c>
      <c r="C495" s="2">
        <v>5</v>
      </c>
      <c r="D495" s="2">
        <v>53</v>
      </c>
      <c r="E495" s="2">
        <v>2</v>
      </c>
    </row>
    <row r="496" spans="1:5" x14ac:dyDescent="0.35">
      <c r="A496" s="2" t="s">
        <v>1522</v>
      </c>
      <c r="B496" s="2">
        <v>2026</v>
      </c>
      <c r="C496" s="2">
        <v>4</v>
      </c>
      <c r="D496" s="2">
        <v>12</v>
      </c>
      <c r="E496" s="2">
        <v>0</v>
      </c>
    </row>
    <row r="497" spans="1:5" x14ac:dyDescent="0.35">
      <c r="A497" s="2" t="s">
        <v>1525</v>
      </c>
      <c r="B497" s="2">
        <v>2026</v>
      </c>
      <c r="C497" s="2">
        <v>1</v>
      </c>
      <c r="D497" s="2">
        <v>54</v>
      </c>
      <c r="E497" s="2">
        <v>0</v>
      </c>
    </row>
    <row r="498" spans="1:5" x14ac:dyDescent="0.35">
      <c r="A498" s="2" t="s">
        <v>1528</v>
      </c>
      <c r="B498" s="2">
        <v>2026</v>
      </c>
      <c r="C498" s="2">
        <v>2</v>
      </c>
      <c r="D498" s="2">
        <v>28</v>
      </c>
      <c r="E498" s="2">
        <v>11</v>
      </c>
    </row>
    <row r="499" spans="1:5" x14ac:dyDescent="0.35">
      <c r="A499" s="2" t="s">
        <v>1531</v>
      </c>
      <c r="B499" s="2">
        <v>2026</v>
      </c>
      <c r="C499" s="2">
        <v>2</v>
      </c>
      <c r="D499" s="2">
        <v>36</v>
      </c>
      <c r="E499" s="2">
        <v>2</v>
      </c>
    </row>
    <row r="500" spans="1:5" x14ac:dyDescent="0.35">
      <c r="A500" s="2" t="s">
        <v>1534</v>
      </c>
      <c r="B500" s="2">
        <v>2026</v>
      </c>
      <c r="C500" s="2">
        <v>3</v>
      </c>
      <c r="D500" s="2">
        <v>4</v>
      </c>
      <c r="E500" s="2">
        <v>2</v>
      </c>
    </row>
    <row r="501" spans="1:5" x14ac:dyDescent="0.35">
      <c r="A501" s="2" t="s">
        <v>1537</v>
      </c>
      <c r="B501" s="2">
        <v>2026</v>
      </c>
      <c r="C501" s="2">
        <v>3</v>
      </c>
      <c r="D501" s="2">
        <v>47</v>
      </c>
      <c r="E501" s="2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Index Match</vt:lpstr>
      <vt:lpstr>Employees</vt:lpstr>
      <vt:lpstr>Departments</vt:lpstr>
      <vt:lpstr>Performance</vt:lpstr>
      <vt:lpstr>Employees!Criteria</vt:lpstr>
      <vt:lpstr>Employees!Extract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SOHEL SARKAR MASUM</dc:creator>
  <cp:lastModifiedBy>AMIR SOHEL SARKAR MASUM</cp:lastModifiedBy>
  <dcterms:created xsi:type="dcterms:W3CDTF">2026-10-12T05:27:00Z</dcterms:created>
  <dcterms:modified xsi:type="dcterms:W3CDTF">2026-10-12T08:43:52Z</dcterms:modified>
</cp:coreProperties>
</file>