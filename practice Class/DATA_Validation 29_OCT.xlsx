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13_ncr:1_{B31625A4-9C9E-4995-8CA9-26A9B5682B0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Sheet3" sheetId="3" r:id="rId2"/>
    <sheet name="Sheet4" sheetId="4" r:id="rId3"/>
  </sheets>
  <definedNames>
    <definedName name="City">Sheet4!$M$3:$M$17</definedName>
    <definedName name="Country">Sheet4!$H$3:$H$17</definedName>
    <definedName name="Flowers" localSheetId="1">Sheet3!$G$5:$G$9</definedName>
    <definedName name="Flowers">#REF!</definedName>
    <definedName name="Fruits" localSheetId="1">Sheet3!$F$5:$F$9</definedName>
    <definedName name="Fruits">#REF!</definedName>
    <definedName name="Grapes">#REF!</definedName>
    <definedName name="Lotus">#REF!</definedName>
    <definedName name="State">Sheet4!$L$3:$L$17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Q7" i="1"/>
  <c r="Q6" i="1"/>
  <c r="Q5" i="1"/>
  <c r="Q4" i="1"/>
  <c r="Q3" i="1"/>
  <c r="Q2" i="1"/>
  <c r="P8" i="1"/>
  <c r="P2" i="1"/>
  <c r="P4" i="1"/>
  <c r="P6" i="1"/>
  <c r="O10" i="1"/>
  <c r="O8" i="1"/>
  <c r="O6" i="1"/>
  <c r="O4" i="1"/>
  <c r="O2" i="1"/>
</calcChain>
</file>

<file path=xl/sharedStrings.xml><?xml version="1.0" encoding="utf-8"?>
<sst xmlns="http://schemas.openxmlformats.org/spreadsheetml/2006/main" count="127" uniqueCount="72">
  <si>
    <t>NUMBER</t>
  </si>
  <si>
    <t>NAME</t>
  </si>
  <si>
    <t>SOJIB</t>
  </si>
  <si>
    <t>SPANDAN</t>
  </si>
  <si>
    <t>CHYON</t>
  </si>
  <si>
    <t>ARPON</t>
  </si>
  <si>
    <t>SWAPNIL</t>
  </si>
  <si>
    <t>Emp ID</t>
  </si>
  <si>
    <t>Phone No.</t>
  </si>
  <si>
    <t>Interviwe Date</t>
  </si>
  <si>
    <t>PAN</t>
  </si>
  <si>
    <t>WXYZ12345A</t>
  </si>
  <si>
    <t>WXYZ12945A</t>
  </si>
  <si>
    <t>Reg. No</t>
  </si>
  <si>
    <t>R1234</t>
  </si>
  <si>
    <t>Email</t>
  </si>
  <si>
    <t>abc@xyz.com</t>
  </si>
  <si>
    <t>uyc@bv.com</t>
  </si>
  <si>
    <t>Grapes</t>
  </si>
  <si>
    <t>Orange</t>
  </si>
  <si>
    <t>Mango</t>
  </si>
  <si>
    <t>Banana</t>
  </si>
  <si>
    <t>Apple</t>
  </si>
  <si>
    <t>Lotus</t>
  </si>
  <si>
    <t>Sunflower</t>
  </si>
  <si>
    <t>Jasmine</t>
  </si>
  <si>
    <t>Rose</t>
  </si>
  <si>
    <t>Category</t>
  </si>
  <si>
    <t>Sub Category</t>
  </si>
  <si>
    <t>Flowers</t>
  </si>
  <si>
    <t>Fruits</t>
  </si>
  <si>
    <t>Canada</t>
  </si>
  <si>
    <t>Australia</t>
  </si>
  <si>
    <t>India</t>
  </si>
  <si>
    <t>Maharashtra</t>
  </si>
  <si>
    <t>California</t>
  </si>
  <si>
    <t>New South Wales</t>
  </si>
  <si>
    <t>Ontario</t>
  </si>
  <si>
    <t>Mumbai</t>
  </si>
  <si>
    <t>Los Angeles</t>
  </si>
  <si>
    <t>Country</t>
  </si>
  <si>
    <t>City</t>
  </si>
  <si>
    <t>West Bengal</t>
  </si>
  <si>
    <t>Kolkata</t>
  </si>
  <si>
    <t>Karnataka</t>
  </si>
  <si>
    <t>Bengaluru</t>
  </si>
  <si>
    <t>Tamil Nadu</t>
  </si>
  <si>
    <t>Madurai</t>
  </si>
  <si>
    <t>Texas</t>
  </si>
  <si>
    <t>Houston</t>
  </si>
  <si>
    <t>Florida</t>
  </si>
  <si>
    <t>Tampa</t>
  </si>
  <si>
    <t>Ottawa</t>
  </si>
  <si>
    <t>Quebec</t>
  </si>
  <si>
    <t>Laval</t>
  </si>
  <si>
    <t>British Columbia</t>
  </si>
  <si>
    <t>Victoria</t>
  </si>
  <si>
    <t>Kelowna</t>
  </si>
  <si>
    <t>Alberta</t>
  </si>
  <si>
    <t>Red Deer</t>
  </si>
  <si>
    <t>Wollongong</t>
  </si>
  <si>
    <t>Ballarat</t>
  </si>
  <si>
    <t>Queensland</t>
  </si>
  <si>
    <t>Townsville</t>
  </si>
  <si>
    <t>Western Australia</t>
  </si>
  <si>
    <t>Geraldton</t>
  </si>
  <si>
    <t xml:space="preserve">State </t>
  </si>
  <si>
    <t>US</t>
  </si>
  <si>
    <t>Proper Email</t>
  </si>
  <si>
    <t>amir762@gmail.com</t>
  </si>
  <si>
    <t xml:space="preserve">  amd@gmail.  com</t>
  </si>
  <si>
    <t>2nd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</si>
</sst>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1" applyBorder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r762@gmail.com" TargetMode="External"/><Relationship Id="rId2" Type="http://schemas.openxmlformats.org/officeDocument/2006/relationships/hyperlink" Target="mailto:uyc@bv.com" TargetMode="External"/><Relationship Id="rId1" Type="http://schemas.openxmlformats.org/officeDocument/2006/relationships/hyperlink" Target="mailto:abc@xyz.com" TargetMode="External"/><Relationship Id="rId4" Type="http://schemas.openxmlformats.org/officeDocument/2006/relationships/hyperlink" Target="mailto:amd@gmail.%20%20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opLeftCell="F1" workbookViewId="0">
      <selection activeCell="P22" sqref="P22"/>
    </sheetView>
  </sheetViews>
  <sheetFormatPr defaultRowHeight="14.5" x14ac:dyDescent="0.35"/>
  <cols>
    <col min="6" max="6" width="9.81640625" bestFit="1" customWidth="1"/>
    <col min="7" max="7" width="7.1796875" bestFit="1" customWidth="1"/>
    <col min="8" max="8" width="11" bestFit="1" customWidth="1"/>
    <col min="9" max="9" width="14.26953125" bestFit="1" customWidth="1"/>
    <col min="10" max="10" width="12.6328125" customWidth="1"/>
    <col min="12" max="12" width="14.453125" customWidth="1"/>
    <col min="13" max="13" width="18.1796875" bestFit="1" customWidth="1"/>
    <col min="14" max="14" width="7.36328125" customWidth="1"/>
  </cols>
  <sheetData>
    <row r="1" spans="1:17" x14ac:dyDescent="0.35">
      <c r="A1" s="1" t="s">
        <v>0</v>
      </c>
      <c r="F1" s="3" t="s">
        <v>1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13</v>
      </c>
      <c r="L1" s="3" t="s">
        <v>15</v>
      </c>
      <c r="M1" s="3" t="s">
        <v>68</v>
      </c>
      <c r="N1" s="4"/>
    </row>
    <row r="2" spans="1:17" x14ac:dyDescent="0.35">
      <c r="A2" s="1">
        <v>121</v>
      </c>
      <c r="F2" s="1" t="s">
        <v>2</v>
      </c>
      <c r="G2" s="1">
        <v>101</v>
      </c>
      <c r="H2" s="1">
        <v>9765332515</v>
      </c>
      <c r="I2" s="2">
        <v>46323</v>
      </c>
      <c r="J2" s="1" t="s">
        <v>11</v>
      </c>
      <c r="K2" s="1" t="s">
        <v>14</v>
      </c>
      <c r="L2" s="8" t="s">
        <v>16</v>
      </c>
      <c r="M2" s="8" t="s">
        <v>69</v>
      </c>
      <c r="N2" s="5"/>
      <c r="O2" t="b">
        <f>LEFT(J2,4)="WXYZ"</f>
        <v>1</v>
      </c>
      <c r="P2" t="b">
        <f>LEN(K2)=5</f>
        <v>1</v>
      </c>
      <c r="Q2" t="b">
        <f>ISERROR(FIND(" ",M2))</f>
        <v>1</v>
      </c>
    </row>
    <row r="3" spans="1:17" x14ac:dyDescent="0.35">
      <c r="A3" s="1">
        <v>95</v>
      </c>
      <c r="F3" s="1" t="s">
        <v>3</v>
      </c>
      <c r="G3" s="1">
        <v>102</v>
      </c>
      <c r="H3" s="1">
        <v>9765152325</v>
      </c>
      <c r="I3" s="2">
        <v>46324</v>
      </c>
      <c r="J3" s="1" t="s">
        <v>12</v>
      </c>
      <c r="K3" s="1"/>
      <c r="L3" s="8" t="s">
        <v>17</v>
      </c>
      <c r="M3" s="8"/>
      <c r="Q3" t="b">
        <f>LEN(M2)-LEN(SUBSTITUTE(M2,"@",""))=1</f>
        <v>1</v>
      </c>
    </row>
    <row r="4" spans="1:17" x14ac:dyDescent="0.35">
      <c r="A4" s="1">
        <v>33</v>
      </c>
      <c r="F4" s="1" t="s">
        <v>4</v>
      </c>
      <c r="G4" s="1">
        <v>103</v>
      </c>
      <c r="H4" s="1">
        <v>9735621488</v>
      </c>
      <c r="I4" s="2"/>
      <c r="J4" s="1"/>
      <c r="K4" s="1"/>
      <c r="L4" s="1"/>
      <c r="M4" s="8" t="s">
        <v>70</v>
      </c>
      <c r="O4" t="b">
        <f>ISNUMBER(VALUE(MID(J2,5,5)))</f>
        <v>1</v>
      </c>
      <c r="P4" t="b">
        <f>ISNUMBER(VALUE(RIGHT(K2,4)))</f>
        <v>1</v>
      </c>
      <c r="Q4" t="b">
        <f>IFERROR(SEARCH("@",M2)&lt;SEARCH(".",M2,SEARCH("@",M2)),0)</f>
        <v>1</v>
      </c>
    </row>
    <row r="5" spans="1:17" x14ac:dyDescent="0.35">
      <c r="A5" s="1">
        <v>0</v>
      </c>
      <c r="F5" s="1" t="s">
        <v>5</v>
      </c>
      <c r="G5" s="1">
        <v>104</v>
      </c>
      <c r="H5" s="1">
        <v>9564882531</v>
      </c>
      <c r="I5" s="2"/>
      <c r="J5" s="1"/>
      <c r="K5" s="1"/>
      <c r="L5" s="1"/>
      <c r="M5" s="1"/>
      <c r="Q5" t="b">
        <f>NOT(IFERROR(SEARCH("@",M2),0)=1)</f>
        <v>1</v>
      </c>
    </row>
    <row r="6" spans="1:17" x14ac:dyDescent="0.35">
      <c r="A6" s="1">
        <v>22</v>
      </c>
      <c r="F6" s="1" t="s">
        <v>6</v>
      </c>
      <c r="G6" s="1">
        <v>105</v>
      </c>
      <c r="H6" s="1">
        <v>9563225896</v>
      </c>
      <c r="I6" s="2"/>
      <c r="J6" s="1"/>
      <c r="K6" s="1"/>
      <c r="L6" s="1"/>
      <c r="M6" s="1"/>
      <c r="O6" t="b">
        <f>RIGHT(J2,1)="A"</f>
        <v>1</v>
      </c>
      <c r="P6" t="b">
        <f>AND(CODE(LEFT(K2,1))&gt;=65,CODE(LEFT(K2,1))&lt;=90)</f>
        <v>1</v>
      </c>
      <c r="Q6" t="b">
        <f>NOT(IFERROR(SEARCH(".",M2,SEARCH("@",M2))-SEARCH("@",M2),0)=1)</f>
        <v>1</v>
      </c>
    </row>
    <row r="7" spans="1:17" x14ac:dyDescent="0.35">
      <c r="A7" s="1">
        <v>222</v>
      </c>
      <c r="F7" s="1"/>
      <c r="G7" s="1"/>
      <c r="H7" s="1"/>
      <c r="I7" s="2"/>
      <c r="J7" s="1"/>
      <c r="K7" s="1"/>
      <c r="L7" s="1"/>
      <c r="M7" s="1"/>
      <c r="Q7" t="b">
        <f>LEFT(M2,1)&lt;&gt;"."</f>
        <v>1</v>
      </c>
    </row>
    <row r="8" spans="1:17" x14ac:dyDescent="0.35">
      <c r="A8" s="1"/>
      <c r="F8" s="1"/>
      <c r="G8" s="1"/>
      <c r="H8" s="1"/>
      <c r="I8" s="2"/>
      <c r="J8" s="1"/>
      <c r="K8" s="1"/>
      <c r="L8" s="1"/>
      <c r="M8" s="1"/>
      <c r="O8" t="b">
        <f>LEN(J2)=10</f>
        <v>1</v>
      </c>
      <c r="P8" t="b">
        <f>AND(LEN(K2)=5,ISNUMBER(VALUE(RIGHT(K2,4))),AND(CODE(LEFT(K2,1))&gt;=65,CODE(LEFT(K2,1))&lt;=90))</f>
        <v>1</v>
      </c>
    </row>
    <row r="9" spans="1:17" x14ac:dyDescent="0.35">
      <c r="A9" s="1"/>
      <c r="F9" s="1"/>
      <c r="G9" s="1"/>
      <c r="H9" s="1"/>
      <c r="I9" s="2"/>
      <c r="J9" s="1"/>
      <c r="K9" s="1"/>
      <c r="L9" s="1"/>
      <c r="M9" s="1"/>
    </row>
    <row r="10" spans="1:17" x14ac:dyDescent="0.35">
      <c r="A10" s="1"/>
      <c r="F10" s="1"/>
      <c r="G10" s="1"/>
      <c r="H10" s="1"/>
      <c r="I10" s="2"/>
      <c r="J10" s="1"/>
      <c r="K10" s="1"/>
      <c r="L10" s="1"/>
      <c r="M10" s="1"/>
      <c r="O10" t="b">
        <f>AND(LEFT(J2,4)="WXYZ",ISNUMBER(VALUE(MID(J2,5,5))),RIGHT(J2,1)="A",LEN(J2)=10)</f>
        <v>1</v>
      </c>
    </row>
    <row r="14" spans="1:17" x14ac:dyDescent="0.35">
      <c r="H14" t="b">
        <f>AND(ISERROR(FIND(" ",)),LEN(M2)-LEN(SUBSTITUTE(M2,"@",""))=1,IFERROR(SEARCH("@",M2)&lt;SEARCH(".",M2,SEARCH("@",M2)),0),NOT(IFERROR(SEARCH("@",M2),0)=1),NOT(IFERROR(SEARCH(".",M2,SEARCH("@",M2))-SEARCH("@",M2),0)=1),LEFT(M2,1)&lt;&gt;".")</f>
        <v>1</v>
      </c>
    </row>
  </sheetData>
  <dataValidations count="8">
    <dataValidation type="custom" allowBlank="1" showInputMessage="1" showErrorMessage="1" sqref="F2:F13" xr:uid="{E2D0BDF8-16E8-47AB-AF82-BA30C34243C2}">
      <formula1>EXACT(UPPER(F2),F2)</formula1>
    </dataValidation>
    <dataValidation type="custom" allowBlank="1" showInputMessage="1" showErrorMessage="1" sqref="G2:G10" xr:uid="{3B251F73-E0DB-4812-BF1A-82B417FD9A8C}">
      <formula1>COUNTIF($G$2:$G$6,G2)=1</formula1>
    </dataValidation>
    <dataValidation type="whole" allowBlank="1" showInputMessage="1" showErrorMessage="1" errorTitle="Error" error="plz Enter 1 to 100_x000a_" promptTitle="Input" prompt="Enter between 1 to 100_x000a_" sqref="A2:A10" xr:uid="{3DE60E0A-2E26-4950-80F4-5F435B30D554}">
      <formula1>1</formula1>
      <formula2>100</formula2>
    </dataValidation>
    <dataValidation type="custom" allowBlank="1" showInputMessage="1" showErrorMessage="1" sqref="H2:H10" xr:uid="{48A09FDC-E707-4A6B-BDEA-E8221E08DB96}">
      <formula1>AND(ISNUMBER(H2),LEN(H2)=10)</formula1>
    </dataValidation>
    <dataValidation type="custom" allowBlank="1" showInputMessage="1" showErrorMessage="1" sqref="I2:I10" xr:uid="{CFF6B1FF-2829-49BC-B37B-492F6E4FE266}">
      <formula1>WEEKDAY(I2,2)&lt;=5</formula1>
    </dataValidation>
    <dataValidation type="custom" allowBlank="1" showDropDown="1" showInputMessage="1" showErrorMessage="1" sqref="J2:J10" xr:uid="{05B76EBD-F6A5-461F-ADD1-5F678D97F98E}">
      <formula1>AND(LEFT(J2,4)="WXYZ",ISNUMBER(VALUE(MID(J2,5,5))),RIGHT(J2,1)="A",LEN(J2)=10)</formula1>
    </dataValidation>
    <dataValidation type="custom" allowBlank="1" showInputMessage="1" showErrorMessage="1" sqref="L2:L10" xr:uid="{FC51F540-E438-4077-9E0C-14A4E7A18292}">
      <formula1>AND(FIND("@",L2),FIND(".",L2),ISERROR(FIND(" ",L2)))</formula1>
    </dataValidation>
    <dataValidation type="custom" allowBlank="1" showInputMessage="1" showErrorMessage="1" sqref="M2:M10" xr:uid="{CFABBCAA-F623-4FB5-84DB-125A3B98664A}">
      <formula1>AND(ISERROR(FIND(" ",)),LEN(M2)-LEN(SUBSTITUTE(M2,"@",""))=1,IFERROR(SEARCH("@",M2)&lt;SEARCH(".",M2,SEARCH("@",M2)),0),NOT(IFERROR(SEARCH("@",M2),0)=1),NOT(IFERROR(SEARCH(".",M2,SEARCH("@",M2))-SEARCH("@",M2),0)=1),LEFT(M2,1)&lt;&gt;".")</formula1>
    </dataValidation>
  </dataValidations>
  <hyperlinks>
    <hyperlink ref="L2" r:id="rId1" xr:uid="{F4CCACD9-3D40-41DB-9844-12135ACA7939}"/>
    <hyperlink ref="L3" r:id="rId2" xr:uid="{96D82AFF-B6C9-4889-8880-AD7A49D8916F}"/>
    <hyperlink ref="M2" r:id="rId3" xr:uid="{7C7D4603-3090-40A2-9FD8-55A9E27DE8E6}"/>
    <hyperlink ref="M4" r:id="rId4" display="amd@gmail.  com" xr:uid="{482C43F5-EABB-49C8-B4DE-7E7A5BEDD3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4E9F-03CF-4A98-9934-1ABE5F25561F}">
  <dimension ref="B3:K9"/>
  <sheetViews>
    <sheetView workbookViewId="0">
      <selection activeCell="F9" sqref="F9"/>
    </sheetView>
  </sheetViews>
  <sheetFormatPr defaultRowHeight="14.5" x14ac:dyDescent="0.35"/>
  <cols>
    <col min="3" max="3" width="11.81640625" bestFit="1" customWidth="1"/>
    <col min="7" max="7" width="9.81640625" customWidth="1"/>
    <col min="11" max="11" width="11.81640625" bestFit="1" customWidth="1"/>
  </cols>
  <sheetData>
    <row r="3" spans="2:11" x14ac:dyDescent="0.35">
      <c r="B3" s="3" t="s">
        <v>27</v>
      </c>
      <c r="C3" s="3" t="s">
        <v>28</v>
      </c>
    </row>
    <row r="4" spans="2:11" x14ac:dyDescent="0.35">
      <c r="B4" s="1" t="s">
        <v>30</v>
      </c>
      <c r="C4" s="1" t="s">
        <v>19</v>
      </c>
      <c r="F4" s="1" t="s">
        <v>30</v>
      </c>
      <c r="G4" s="1" t="s">
        <v>29</v>
      </c>
      <c r="J4" s="3" t="s">
        <v>27</v>
      </c>
      <c r="K4" s="3" t="s">
        <v>28</v>
      </c>
    </row>
    <row r="5" spans="2:11" x14ac:dyDescent="0.35">
      <c r="F5" s="1" t="s">
        <v>18</v>
      </c>
      <c r="G5" s="1" t="s">
        <v>23</v>
      </c>
      <c r="J5" s="1" t="s">
        <v>30</v>
      </c>
      <c r="K5" s="1" t="s">
        <v>19</v>
      </c>
    </row>
    <row r="6" spans="2:11" x14ac:dyDescent="0.35">
      <c r="F6" s="1" t="s">
        <v>19</v>
      </c>
      <c r="G6" s="1" t="s">
        <v>24</v>
      </c>
    </row>
    <row r="7" spans="2:11" x14ac:dyDescent="0.35">
      <c r="F7" s="1" t="s">
        <v>20</v>
      </c>
      <c r="G7" s="1" t="s">
        <v>25</v>
      </c>
    </row>
    <row r="8" spans="2:11" x14ac:dyDescent="0.35">
      <c r="F8" s="1" t="s">
        <v>21</v>
      </c>
      <c r="G8" s="1" t="s">
        <v>26</v>
      </c>
    </row>
    <row r="9" spans="2:11" x14ac:dyDescent="0.35">
      <c r="F9" s="1" t="s">
        <v>22</v>
      </c>
      <c r="G9" s="1" t="s">
        <v>22</v>
      </c>
    </row>
  </sheetData>
  <dataValidations count="3">
    <dataValidation type="list" allowBlank="1" showInputMessage="1" showErrorMessage="1" sqref="B4 J5" xr:uid="{4B5FC89C-40D5-464B-89A2-904773C3E594}">
      <formula1>$F$4:$G$4</formula1>
    </dataValidation>
    <dataValidation type="list" allowBlank="1" showInputMessage="1" showErrorMessage="1" sqref="C4" xr:uid="{0232F713-226A-4EB0-8F7F-EB3E9E68F6C3}">
      <formula1>INDIRECT($B$4)</formula1>
    </dataValidation>
    <dataValidation type="list" allowBlank="1" showInputMessage="1" showErrorMessage="1" sqref="K5" xr:uid="{DC4772DC-0F0D-4082-BD7F-0B1E8272D207}">
      <formula1>_xlfn.XLOOKUP(J5,$F$4:$G$4,$F$5:$G$9)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33DD-57AB-4791-90BD-61FDD09ADB70}">
  <dimension ref="B2:M17"/>
  <sheetViews>
    <sheetView tabSelected="1" workbookViewId="0">
      <selection activeCell="B4" sqref="B4"/>
    </sheetView>
  </sheetViews>
  <sheetFormatPr defaultRowHeight="14.5" x14ac:dyDescent="0.35"/>
  <cols>
    <col min="3" max="3" width="11.81640625" bestFit="1" customWidth="1"/>
    <col min="4" max="4" width="11.6328125" customWidth="1"/>
    <col min="8" max="8" width="11.81640625" bestFit="1" customWidth="1"/>
    <col min="9" max="9" width="15.81640625" bestFit="1" customWidth="1"/>
    <col min="10" max="10" width="12.26953125" bestFit="1" customWidth="1"/>
  </cols>
  <sheetData>
    <row r="2" spans="2:13" x14ac:dyDescent="0.35">
      <c r="H2" s="6" t="s">
        <v>40</v>
      </c>
      <c r="I2" s="6" t="s">
        <v>66</v>
      </c>
      <c r="J2" s="6" t="s">
        <v>41</v>
      </c>
      <c r="L2" s="6" t="s">
        <v>66</v>
      </c>
      <c r="M2" s="6" t="s">
        <v>41</v>
      </c>
    </row>
    <row r="3" spans="2:13" x14ac:dyDescent="0.35">
      <c r="B3" s="3" t="s">
        <v>27</v>
      </c>
      <c r="C3" s="3" t="s">
        <v>28</v>
      </c>
      <c r="D3" s="3" t="s">
        <v>71</v>
      </c>
      <c r="H3" s="7" t="s">
        <v>33</v>
      </c>
      <c r="I3" s="7" t="s">
        <v>42</v>
      </c>
      <c r="J3" s="7" t="s">
        <v>43</v>
      </c>
      <c r="L3" s="7" t="s">
        <v>42</v>
      </c>
      <c r="M3" s="7" t="s">
        <v>43</v>
      </c>
    </row>
    <row r="4" spans="2:13" x14ac:dyDescent="0.35">
      <c r="B4" s="1" t="s">
        <v>40</v>
      </c>
      <c r="C4" s="1" t="s">
        <v>66</v>
      </c>
      <c r="D4" s="1" t="s">
        <v>34</v>
      </c>
      <c r="H4" s="7" t="s">
        <v>33</v>
      </c>
      <c r="I4" s="7" t="s">
        <v>34</v>
      </c>
      <c r="J4" s="7" t="s">
        <v>38</v>
      </c>
      <c r="L4" s="7" t="s">
        <v>34</v>
      </c>
      <c r="M4" s="7" t="s">
        <v>38</v>
      </c>
    </row>
    <row r="5" spans="2:13" x14ac:dyDescent="0.35">
      <c r="H5" s="7" t="s">
        <v>33</v>
      </c>
      <c r="I5" s="7" t="s">
        <v>44</v>
      </c>
      <c r="J5" s="7" t="s">
        <v>45</v>
      </c>
      <c r="L5" s="7" t="s">
        <v>44</v>
      </c>
      <c r="M5" s="7" t="s">
        <v>45</v>
      </c>
    </row>
    <row r="6" spans="2:13" x14ac:dyDescent="0.35">
      <c r="H6" s="7" t="s">
        <v>33</v>
      </c>
      <c r="I6" s="7" t="s">
        <v>46</v>
      </c>
      <c r="J6" s="7" t="s">
        <v>47</v>
      </c>
      <c r="L6" s="7" t="s">
        <v>46</v>
      </c>
      <c r="M6" s="7" t="s">
        <v>47</v>
      </c>
    </row>
    <row r="7" spans="2:13" x14ac:dyDescent="0.35">
      <c r="H7" s="7" t="s">
        <v>67</v>
      </c>
      <c r="I7" s="7" t="s">
        <v>35</v>
      </c>
      <c r="J7" s="7" t="s">
        <v>39</v>
      </c>
      <c r="L7" s="7" t="s">
        <v>35</v>
      </c>
      <c r="M7" s="7" t="s">
        <v>39</v>
      </c>
    </row>
    <row r="8" spans="2:13" x14ac:dyDescent="0.35">
      <c r="H8" s="7" t="s">
        <v>67</v>
      </c>
      <c r="I8" s="7" t="s">
        <v>48</v>
      </c>
      <c r="J8" s="7" t="s">
        <v>49</v>
      </c>
      <c r="L8" s="7" t="s">
        <v>48</v>
      </c>
      <c r="M8" s="7" t="s">
        <v>49</v>
      </c>
    </row>
    <row r="9" spans="2:13" x14ac:dyDescent="0.35">
      <c r="H9" s="7" t="s">
        <v>67</v>
      </c>
      <c r="I9" s="7" t="s">
        <v>50</v>
      </c>
      <c r="J9" s="7" t="s">
        <v>51</v>
      </c>
      <c r="L9" s="7" t="s">
        <v>50</v>
      </c>
      <c r="M9" s="7" t="s">
        <v>51</v>
      </c>
    </row>
    <row r="10" spans="2:13" x14ac:dyDescent="0.35">
      <c r="H10" s="7" t="s">
        <v>67</v>
      </c>
      <c r="I10" s="7" t="s">
        <v>37</v>
      </c>
      <c r="J10" s="7" t="s">
        <v>52</v>
      </c>
      <c r="L10" s="7" t="s">
        <v>37</v>
      </c>
      <c r="M10" s="7" t="s">
        <v>52</v>
      </c>
    </row>
    <row r="11" spans="2:13" x14ac:dyDescent="0.35">
      <c r="H11" s="7" t="s">
        <v>31</v>
      </c>
      <c r="I11" s="7" t="s">
        <v>53</v>
      </c>
      <c r="J11" s="7" t="s">
        <v>54</v>
      </c>
      <c r="L11" s="7" t="s">
        <v>53</v>
      </c>
      <c r="M11" s="7" t="s">
        <v>54</v>
      </c>
    </row>
    <row r="12" spans="2:13" x14ac:dyDescent="0.35">
      <c r="H12" s="7" t="s">
        <v>31</v>
      </c>
      <c r="I12" s="7" t="s">
        <v>55</v>
      </c>
      <c r="J12" s="7" t="s">
        <v>57</v>
      </c>
      <c r="L12" s="7" t="s">
        <v>55</v>
      </c>
      <c r="M12" s="7" t="s">
        <v>57</v>
      </c>
    </row>
    <row r="13" spans="2:13" x14ac:dyDescent="0.35">
      <c r="H13" s="7" t="s">
        <v>31</v>
      </c>
      <c r="I13" s="7" t="s">
        <v>58</v>
      </c>
      <c r="J13" s="7" t="s">
        <v>59</v>
      </c>
      <c r="L13" s="7" t="s">
        <v>58</v>
      </c>
      <c r="M13" s="7" t="s">
        <v>59</v>
      </c>
    </row>
    <row r="14" spans="2:13" x14ac:dyDescent="0.35">
      <c r="H14" s="7" t="s">
        <v>32</v>
      </c>
      <c r="I14" s="7" t="s">
        <v>36</v>
      </c>
      <c r="J14" s="7" t="s">
        <v>60</v>
      </c>
      <c r="L14" s="7" t="s">
        <v>36</v>
      </c>
      <c r="M14" s="7" t="s">
        <v>60</v>
      </c>
    </row>
    <row r="15" spans="2:13" x14ac:dyDescent="0.35">
      <c r="H15" s="7" t="s">
        <v>32</v>
      </c>
      <c r="I15" s="7" t="s">
        <v>56</v>
      </c>
      <c r="J15" s="7" t="s">
        <v>61</v>
      </c>
      <c r="L15" s="7" t="s">
        <v>56</v>
      </c>
      <c r="M15" s="7" t="s">
        <v>61</v>
      </c>
    </row>
    <row r="16" spans="2:13" x14ac:dyDescent="0.35">
      <c r="H16" s="7" t="s">
        <v>32</v>
      </c>
      <c r="I16" s="7" t="s">
        <v>62</v>
      </c>
      <c r="J16" s="7" t="s">
        <v>63</v>
      </c>
      <c r="L16" s="7" t="s">
        <v>62</v>
      </c>
      <c r="M16" s="7" t="s">
        <v>63</v>
      </c>
    </row>
    <row r="17" spans="8:13" x14ac:dyDescent="0.35">
      <c r="H17" s="7" t="s">
        <v>32</v>
      </c>
      <c r="I17" s="7" t="s">
        <v>64</v>
      </c>
      <c r="J17" s="7" t="s">
        <v>65</v>
      </c>
      <c r="L17" s="7" t="s">
        <v>64</v>
      </c>
      <c r="M17" s="7" t="s">
        <v>65</v>
      </c>
    </row>
  </sheetData>
  <dataValidations count="3">
    <dataValidation type="list" allowBlank="1" showInputMessage="1" showErrorMessage="1" sqref="B4" xr:uid="{05D3B8BD-1C51-4A99-91C5-F9E344CA7C25}">
      <formula1>$H$2:$J$2</formula1>
    </dataValidation>
    <dataValidation type="list" allowBlank="1" showInputMessage="1" showErrorMessage="1" sqref="C4" xr:uid="{658105CB-67B1-4191-AB5F-F8AB8255714D}">
      <formula1>$L$2:$M$2</formula1>
    </dataValidation>
    <dataValidation type="list" allowBlank="1" showInputMessage="1" showErrorMessage="1" sqref="D4" xr:uid="{8B1B2D1D-6E9E-48D9-AB10-2318BD29140E}">
      <formula1>INDIRECT($C$4)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Sheet3</vt:lpstr>
      <vt:lpstr>Sheet4</vt:lpstr>
      <vt:lpstr>City</vt:lpstr>
      <vt:lpstr>Country</vt:lpstr>
      <vt:lpstr>Sheet3!Flowers</vt:lpstr>
      <vt:lpstr>Sheet3!Fruits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AMIR SOHEL SARKAR MASUM</cp:lastModifiedBy>
  <dcterms:created xsi:type="dcterms:W3CDTF">2015-06-05T18:17:20Z</dcterms:created>
  <dcterms:modified xsi:type="dcterms:W3CDTF">2026-10-29T12:26:25Z</dcterms:modified>
</cp:coreProperties>
</file>