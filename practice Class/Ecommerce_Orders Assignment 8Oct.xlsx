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BFF8E0C6-7385-43FA-B100-200A3DFC23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1" r:id="rId1"/>
    <sheet name="Product_Reference" sheetId="2" r:id="rId2"/>
    <sheet name="Product_Master" sheetId="3" r:id="rId3"/>
  </sheets>
  <definedNames>
    <definedName name="_xlnm._FilterDatabase" localSheetId="0" hidden="1">Orders!$A$1:$J$151</definedName>
    <definedName name="_xlnm._FilterDatabase" localSheetId="1" hidden="1">Product_Reference!$A$1:$F$26</definedName>
  </definedNames>
  <calcPr calcId="191029"/>
</workbook>
</file>

<file path=xl/calcChain.xml><?xml version="1.0" encoding="utf-8"?>
<calcChain xmlns="http://schemas.openxmlformats.org/spreadsheetml/2006/main">
  <c r="M20" i="1" l="1"/>
  <c r="M23" i="1"/>
  <c r="M16" i="1"/>
  <c r="M18" i="1"/>
  <c r="M14" i="1"/>
  <c r="M12" i="1"/>
  <c r="M9" i="1"/>
  <c r="M5" i="1"/>
  <c r="M3" i="1"/>
  <c r="M7" i="1" l="1"/>
</calcChain>
</file>

<file path=xl/sharedStrings.xml><?xml version="1.0" encoding="utf-8"?>
<sst xmlns="http://schemas.openxmlformats.org/spreadsheetml/2006/main" count="1212" uniqueCount="349">
  <si>
    <t>Order_ID</t>
  </si>
  <si>
    <t>Order_Date</t>
  </si>
  <si>
    <t>Customer_ID</t>
  </si>
  <si>
    <t>Product_ID</t>
  </si>
  <si>
    <t>Quantity</t>
  </si>
  <si>
    <t>Unit_Price</t>
  </si>
  <si>
    <t>Discount_%</t>
  </si>
  <si>
    <t>Payment_Mode</t>
  </si>
  <si>
    <t>Region</t>
  </si>
  <si>
    <t>Salesperson</t>
  </si>
  <si>
    <t>ORD1001</t>
  </si>
  <si>
    <t>C043</t>
  </si>
  <si>
    <t>P107</t>
  </si>
  <si>
    <t>Cash</t>
  </si>
  <si>
    <t>East</t>
  </si>
  <si>
    <t>Priya</t>
  </si>
  <si>
    <t>ORD1002</t>
  </si>
  <si>
    <t>C024</t>
  </si>
  <si>
    <t>P119</t>
  </si>
  <si>
    <t>UPI</t>
  </si>
  <si>
    <t>South</t>
  </si>
  <si>
    <t>Amit</t>
  </si>
  <si>
    <t>ORD1003</t>
  </si>
  <si>
    <t>C044</t>
  </si>
  <si>
    <t>P122</t>
  </si>
  <si>
    <t>Net Banking</t>
  </si>
  <si>
    <t>West</t>
  </si>
  <si>
    <t>Sneha</t>
  </si>
  <si>
    <t>ORD1004</t>
  </si>
  <si>
    <t>C022</t>
  </si>
  <si>
    <t>P121</t>
  </si>
  <si>
    <t>Rahul</t>
  </si>
  <si>
    <t>ORD1005</t>
  </si>
  <si>
    <t>C052</t>
  </si>
  <si>
    <t>P110</t>
  </si>
  <si>
    <t>Card</t>
  </si>
  <si>
    <t>North</t>
  </si>
  <si>
    <t>Karan</t>
  </si>
  <si>
    <t>ORD1006</t>
  </si>
  <si>
    <t>C039</t>
  </si>
  <si>
    <t xml:space="preserve"> East </t>
  </si>
  <si>
    <t>ORD1007</t>
  </si>
  <si>
    <t>C026</t>
  </si>
  <si>
    <t>P114</t>
  </si>
  <si>
    <t>ORD1008</t>
  </si>
  <si>
    <t>C047</t>
  </si>
  <si>
    <t>P115</t>
  </si>
  <si>
    <t>ORD1009</t>
  </si>
  <si>
    <t>C006</t>
  </si>
  <si>
    <t>P118</t>
  </si>
  <si>
    <t>Neha</t>
  </si>
  <si>
    <t>ORD1010</t>
  </si>
  <si>
    <t>C010</t>
  </si>
  <si>
    <t>ORD1011</t>
  </si>
  <si>
    <t>C021</t>
  </si>
  <si>
    <t>P123</t>
  </si>
  <si>
    <t>ORD1012</t>
  </si>
  <si>
    <t>C060</t>
  </si>
  <si>
    <t>P124</t>
  </si>
  <si>
    <t>ORD1013</t>
  </si>
  <si>
    <t>P101</t>
  </si>
  <si>
    <t>east</t>
  </si>
  <si>
    <t>ORD1014</t>
  </si>
  <si>
    <t>C035</t>
  </si>
  <si>
    <t>ORD1015</t>
  </si>
  <si>
    <t>C007</t>
  </si>
  <si>
    <t>ORD1016</t>
  </si>
  <si>
    <t>ORD1017</t>
  </si>
  <si>
    <t>C014</t>
  </si>
  <si>
    <t>P103</t>
  </si>
  <si>
    <t>ORD1018</t>
  </si>
  <si>
    <t>C015</t>
  </si>
  <si>
    <t>ORD1019</t>
  </si>
  <si>
    <t>C032</t>
  </si>
  <si>
    <t>P113</t>
  </si>
  <si>
    <t>ORD1020</t>
  </si>
  <si>
    <t>ORD1021</t>
  </si>
  <si>
    <t>C057</t>
  </si>
  <si>
    <t>P102</t>
  </si>
  <si>
    <t>ORD1022</t>
  </si>
  <si>
    <t>C011</t>
  </si>
  <si>
    <t>P112</t>
  </si>
  <si>
    <t>ORD1023</t>
  </si>
  <si>
    <t>P125</t>
  </si>
  <si>
    <t>ORD1024</t>
  </si>
  <si>
    <t>C008</t>
  </si>
  <si>
    <t>ORD1025</t>
  </si>
  <si>
    <t>ORD1026</t>
  </si>
  <si>
    <t>P120</t>
  </si>
  <si>
    <t>ORD1027</t>
  </si>
  <si>
    <t>C017</t>
  </si>
  <si>
    <t>ORD1028</t>
  </si>
  <si>
    <t>C019</t>
  </si>
  <si>
    <t>ORD1029</t>
  </si>
  <si>
    <t>P106</t>
  </si>
  <si>
    <t xml:space="preserve">WEST </t>
  </si>
  <si>
    <t>ORD1030</t>
  </si>
  <si>
    <t>ORD1031</t>
  </si>
  <si>
    <t>C020</t>
  </si>
  <si>
    <t>P109</t>
  </si>
  <si>
    <t>ORD1032</t>
  </si>
  <si>
    <t>ORD1033</t>
  </si>
  <si>
    <t>C025</t>
  </si>
  <si>
    <t>P108</t>
  </si>
  <si>
    <t>ORD1034</t>
  </si>
  <si>
    <t>ORD1035</t>
  </si>
  <si>
    <t>C012</t>
  </si>
  <si>
    <t>P117</t>
  </si>
  <si>
    <t>ORD1036</t>
  </si>
  <si>
    <t xml:space="preserve"> C014 </t>
  </si>
  <si>
    <t>ORD1037</t>
  </si>
  <si>
    <t>C049</t>
  </si>
  <si>
    <t>ORD1038</t>
  </si>
  <si>
    <t>C029</t>
  </si>
  <si>
    <t>ORD1039</t>
  </si>
  <si>
    <t>C041</t>
  </si>
  <si>
    <t>ORD1040</t>
  </si>
  <si>
    <t>C056</t>
  </si>
  <si>
    <t>ORD1041</t>
  </si>
  <si>
    <t>C059</t>
  </si>
  <si>
    <t>ORD1042</t>
  </si>
  <si>
    <t>C054</t>
  </si>
  <si>
    <t xml:space="preserve"> north</t>
  </si>
  <si>
    <t>ORD1043</t>
  </si>
  <si>
    <t>C033</t>
  </si>
  <si>
    <t>ORD1044</t>
  </si>
  <si>
    <t>P104</t>
  </si>
  <si>
    <t>ORD1045</t>
  </si>
  <si>
    <t>ORD1046</t>
  </si>
  <si>
    <t>ORD1047</t>
  </si>
  <si>
    <t>C058</t>
  </si>
  <si>
    <t>ORD1048</t>
  </si>
  <si>
    <t>C027</t>
  </si>
  <si>
    <t>ORD1049</t>
  </si>
  <si>
    <t>ORD1050</t>
  </si>
  <si>
    <t>ORD1051</t>
  </si>
  <si>
    <t>ORD1052</t>
  </si>
  <si>
    <t>C028</t>
  </si>
  <si>
    <t>P116</t>
  </si>
  <si>
    <t>ORD1053</t>
  </si>
  <si>
    <t>ORD1054</t>
  </si>
  <si>
    <t>ORD1055</t>
  </si>
  <si>
    <t>ORD1056</t>
  </si>
  <si>
    <t>ORD1057</t>
  </si>
  <si>
    <t>ORD1058</t>
  </si>
  <si>
    <t>C023</t>
  </si>
  <si>
    <t>P105</t>
  </si>
  <si>
    <t>ORD1059</t>
  </si>
  <si>
    <t>ORD1060</t>
  </si>
  <si>
    <t>C016</t>
  </si>
  <si>
    <t>ORD1061</t>
  </si>
  <si>
    <t>ORD1062</t>
  </si>
  <si>
    <t>ORD1063</t>
  </si>
  <si>
    <t>C030</t>
  </si>
  <si>
    <t>ORD1064</t>
  </si>
  <si>
    <t>ORD1065</t>
  </si>
  <si>
    <t>ORD1066</t>
  </si>
  <si>
    <t>C050</t>
  </si>
  <si>
    <t>ORD1067</t>
  </si>
  <si>
    <t>C001</t>
  </si>
  <si>
    <t>ORD1068</t>
  </si>
  <si>
    <t xml:space="preserve"> Rahul </t>
  </si>
  <si>
    <t>ORD1069</t>
  </si>
  <si>
    <t>C051</t>
  </si>
  <si>
    <t>ORD1070</t>
  </si>
  <si>
    <t>ORD1071</t>
  </si>
  <si>
    <t>ORD1072</t>
  </si>
  <si>
    <t>ORD1073</t>
  </si>
  <si>
    <t>ORD1074</t>
  </si>
  <si>
    <t xml:space="preserve">C022 </t>
  </si>
  <si>
    <t>ORD1075</t>
  </si>
  <si>
    <t>C009</t>
  </si>
  <si>
    <t>ORD1076</t>
  </si>
  <si>
    <t>C053</t>
  </si>
  <si>
    <t>ORD1077</t>
  </si>
  <si>
    <t>ORD1078</t>
  </si>
  <si>
    <t>ORD1079</t>
  </si>
  <si>
    <t>ORD1080</t>
  </si>
  <si>
    <t>C040</t>
  </si>
  <si>
    <t>ORD1081</t>
  </si>
  <si>
    <t>C038</t>
  </si>
  <si>
    <t>ORD1082</t>
  </si>
  <si>
    <t>ORD1083</t>
  </si>
  <si>
    <t>ORD1084</t>
  </si>
  <si>
    <t>priya</t>
  </si>
  <si>
    <t>ORD1085</t>
  </si>
  <si>
    <t>C003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</si>
  <si>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</si>
  <si>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</si>
  <si>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</si>
  <si>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</si>
  <si>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</si>
  <si>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</si>
  <si>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</si>
  <si>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</si>
  <si>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C013</t>
  </si>
  <si>
    <t>ORD1094</t>
  </si>
  <si>
    <t>ORD1095</t>
  </si>
  <si>
    <t>ORD1096</t>
  </si>
  <si>
    <t>P111</t>
  </si>
  <si>
    <t>ORD1097</t>
  </si>
  <si>
    <t>ORD1098</t>
  </si>
  <si>
    <t xml:space="preserve"> AMIT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</si>
  <si>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</si>
  <si>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</si>
  <si>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</si>
  <si>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</si>
  <si>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</si>
  <si>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</si>
  <si>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</si>
  <si>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</si>
  <si>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C005</t>
  </si>
  <si>
    <t>ORD1107</t>
  </si>
  <si>
    <t>ORD1108</t>
  </si>
  <si>
    <t>C055</t>
  </si>
  <si>
    <t>ORD1109</t>
  </si>
  <si>
    <t>ORD1110</t>
  </si>
  <si>
    <t>ORD1111</t>
  </si>
  <si>
    <t>upi</t>
  </si>
  <si>
    <t>ORD1112</t>
  </si>
  <si>
    <t>C045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</si>
  <si>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</si>
  <si>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</si>
  <si>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</si>
  <si>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</si>
  <si>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</si>
  <si>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</si>
  <si>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</si>
  <si>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</si>
  <si>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C034</t>
  </si>
  <si>
    <t xml:space="preserve"> P108</t>
  </si>
  <si>
    <t>ORD1121</t>
  </si>
  <si>
    <t>C037</t>
  </si>
  <si>
    <t>ORD1122</t>
  </si>
  <si>
    <t>ORD1123</t>
  </si>
  <si>
    <t>ORD1124</t>
  </si>
  <si>
    <t>ORD1125</t>
  </si>
  <si>
    <t>C004</t>
  </si>
  <si>
    <t>ORD1126</t>
  </si>
  <si>
    <t>ORD1127</t>
  </si>
  <si>
    <t xml:space="preserve"> Card </t>
  </si>
  <si>
    <t>ORD1128</t>
  </si>
  <si>
    <t>ORD1129</t>
  </si>
  <si>
    <t>ORD1130</t>
  </si>
  <si>
    <t>C002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</si>
  <si>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</si>
  <si>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</si>
  <si>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</si>
  <si>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</si>
  <si>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</si>
  <si>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</si>
  <si>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</si>
  <si>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</si>
  <si>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</si>
  <si>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</si>
  <si>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</si>
  <si>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</si>
  <si>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</si>
  <si>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</si>
  <si>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</si>
  <si>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C036</t>
  </si>
  <si>
    <t xml:space="preserve">P121 </t>
  </si>
  <si>
    <t>ORD1146</t>
  </si>
  <si>
    <t>ORD1147</t>
  </si>
  <si>
    <t>C018</t>
  </si>
  <si>
    <t>ORD1148</t>
  </si>
  <si>
    <t>ORD1149</t>
  </si>
  <si>
    <t>ORD1150</t>
  </si>
  <si>
    <t>Product_Name</t>
  </si>
  <si>
    <t>Category</t>
  </si>
  <si>
    <t>Brand</t>
  </si>
  <si>
    <t>Supplier</t>
  </si>
  <si>
    <t>Product_Rating</t>
  </si>
  <si>
    <t>Laptop Pro 14</t>
  </si>
  <si>
    <t>Electronics</t>
  </si>
  <si>
    <t>TechPro</t>
  </si>
  <si>
    <t>ABC Ltd</t>
  </si>
  <si>
    <t>Wireless Mouse</t>
  </si>
  <si>
    <t>Accessories</t>
  </si>
  <si>
    <t>ClickTech</t>
  </si>
  <si>
    <t>XYZ Ltd</t>
  </si>
  <si>
    <t>Smartphone X</t>
  </si>
  <si>
    <t>MobileMax</t>
  </si>
  <si>
    <t>Tablet 10</t>
  </si>
  <si>
    <t>TabWorld</t>
  </si>
  <si>
    <t>PQR Ltd</t>
  </si>
  <si>
    <t>Mechanical Keyboard</t>
  </si>
  <si>
    <t>KeyMaster</t>
  </si>
  <si>
    <t>Bluetooth Speaker</t>
  </si>
  <si>
    <t>Audio</t>
  </si>
  <si>
    <t>SoundMax</t>
  </si>
  <si>
    <t>LMN Ltd</t>
  </si>
  <si>
    <t>USB-C Hub</t>
  </si>
  <si>
    <t>ConnectPro</t>
  </si>
  <si>
    <t>Smart Watch</t>
  </si>
  <si>
    <t>Wearables</t>
  </si>
  <si>
    <t>FitTech</t>
  </si>
  <si>
    <t>Noise Cancelling Headphones</t>
  </si>
  <si>
    <t>External SSD 1TB</t>
  </si>
  <si>
    <t>Storage</t>
  </si>
  <si>
    <t>DataDrive</t>
  </si>
  <si>
    <t>Gaming Monitor 24</t>
  </si>
  <si>
    <t>ViewMax</t>
  </si>
  <si>
    <t>Webcam HD</t>
  </si>
  <si>
    <t>VisionTech</t>
  </si>
  <si>
    <t>Wireless Earbuds</t>
  </si>
  <si>
    <t>Power Bank 20000mAh</t>
  </si>
  <si>
    <t>PowerPlus</t>
  </si>
  <si>
    <t>Smart TV 43</t>
  </si>
  <si>
    <t>Fitness Band</t>
  </si>
  <si>
    <t>Laptop Stand</t>
  </si>
  <si>
    <t>ErgoTech</t>
  </si>
  <si>
    <t>Mechanical Pencil Set</t>
  </si>
  <si>
    <t>Stationery</t>
  </si>
  <si>
    <t>WriteWell</t>
  </si>
  <si>
    <t>Office Chair</t>
  </si>
  <si>
    <t>Furniture</t>
  </si>
  <si>
    <t>ComfortPro</t>
  </si>
  <si>
    <t>Desk Lamp</t>
  </si>
  <si>
    <t>BrightHome</t>
  </si>
  <si>
    <t>Portable Projector</t>
  </si>
  <si>
    <t>Router AX1800</t>
  </si>
  <si>
    <t>Networking</t>
  </si>
  <si>
    <t>NetLink</t>
  </si>
  <si>
    <t>Wi-Fi Range Extender</t>
  </si>
  <si>
    <t>Tablet Keyboard</t>
  </si>
  <si>
    <t>Laser Printer</t>
  </si>
  <si>
    <t>Office Equipment</t>
  </si>
  <si>
    <t>PrintPro</t>
  </si>
  <si>
    <t>Total number of order</t>
  </si>
  <si>
    <t>Total Quentity</t>
  </si>
  <si>
    <t xml:space="preserve">Average quantity </t>
  </si>
  <si>
    <t>Count</t>
  </si>
  <si>
    <t>Discount &gt;=10</t>
  </si>
  <si>
    <t xml:space="preserve"> Quantity &gt;=3</t>
  </si>
  <si>
    <r>
      <t xml:space="preserve">Payment Mode = UPI </t>
    </r>
    <r>
      <rPr>
        <b/>
        <sz val="11"/>
        <color rgb="FF0D0D0D"/>
        <rFont val="Segoe UI"/>
        <family val="2"/>
      </rPr>
      <t>and</t>
    </r>
    <r>
      <rPr>
        <sz val="11"/>
        <color rgb="FF0D0D0D"/>
        <rFont val="Segoe UI"/>
        <family val="2"/>
      </rPr>
      <t xml:space="preserve"> Region = East</t>
    </r>
  </si>
  <si>
    <r>
      <t xml:space="preserve">Quantity ≥ 3 </t>
    </r>
    <r>
      <rPr>
        <b/>
        <sz val="11"/>
        <color rgb="FF0D0D0D"/>
        <rFont val="Segoe UI"/>
        <family val="2"/>
      </rPr>
      <t>and</t>
    </r>
    <r>
      <rPr>
        <sz val="11"/>
        <color rgb="FF0D0D0D"/>
        <rFont val="Segoe UI"/>
        <family val="2"/>
      </rPr>
      <t xml:space="preserve"> Discount ≥ 10%</t>
    </r>
  </si>
  <si>
    <t xml:space="preserve">1. Calculate the total number of orders in the dataset. </t>
  </si>
  <si>
    <t xml:space="preserve">2. Calculate the total quantity of products sold. </t>
  </si>
  <si>
    <t xml:space="preserve">3. Calculate the average quantity ordered per order. </t>
  </si>
  <si>
    <t>4. Find the number of orders made using each payment mode: UPI, Card, Cash, and Net Banking.</t>
  </si>
  <si>
    <t>5. Find the number of orders received from each region: East, West, North, and South.</t>
  </si>
  <si>
    <t>6. Find the number of orders where Quantity is greater than or equal to 3.</t>
  </si>
  <si>
    <t xml:space="preserve">7. Find the number of orders where Discount is greater than 10%. </t>
  </si>
  <si>
    <t xml:space="preserve">8. Find the number of orders where Payment Mode is UPI and Region is East. </t>
  </si>
  <si>
    <t xml:space="preserve">9. Find the number of orders where Quantity is greater than or equal to 3 and Discount is greater than or equal to 10%. </t>
  </si>
  <si>
    <t xml:space="preserve">10. Find the number of orders handled by each salesperson. 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</si>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</sst>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D0D0D"/>
      <name val="Courier New"/>
      <family val="3"/>
    </font>
    <font>
      <sz val="11"/>
      <color rgb="FF0D0D0D"/>
      <name val="Segoe UI"/>
      <family val="2"/>
    </font>
    <font>
      <b/>
      <sz val="11"/>
      <color rgb="FF0D0D0D"/>
      <name val="Segoe UI"/>
      <family val="2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3" xfId="0" applyFont="1" applyBorder="1"/>
    <xf numFmtId="0" fontId="0" fillId="0" borderId="4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0" borderId="7" xfId="0" applyBorder="1"/>
    <xf numFmtId="0" fontId="0" fillId="0" borderId="8" xfId="0" applyBorder="1"/>
    <xf numFmtId="0" fontId="4" fillId="0" borderId="6" xfId="0" applyFont="1" applyBorder="1"/>
    <xf numFmtId="0" fontId="0" fillId="3" borderId="9" xfId="0" applyFill="1" applyBorder="1"/>
    <xf numFmtId="0" fontId="0" fillId="3" borderId="10" xfId="0" applyFill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5" fillId="0" borderId="7" xfId="0" applyFont="1" applyBorder="1"/>
    <xf numFmtId="0" fontId="4" fillId="0" borderId="8" xfId="0" applyFont="1" applyBorder="1"/>
    <xf numFmtId="9" fontId="1" fillId="0" borderId="2" xfId="1" applyFont="1" applyBorder="1" applyAlignment="1">
      <alignment horizontal="center"/>
    </xf>
    <xf numFmtId="9" fontId="0" fillId="0" borderId="0" xfId="1" applyFont="1"/>
    <xf numFmtId="0" fontId="7" fillId="4" borderId="0" xfId="0" applyFont="1" applyFill="1"/>
    <xf numFmtId="0" fontId="0" fillId="4" borderId="0" xfId="0" applyFill="1"/>
  </cellXfs>
  <cellStyles count="2">
    <cellStyle name="Normal" xfId="0" builtinId="0"/>
    <cellStyle name="Percent" xfId="1" builtinId="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B18D9B30-01F2-4C37-9B45-403629493B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C9EAE-B212-499E-A1D2-BE16B03A8A07}" name="Table1" displayName="Table1" ref="A1:J151" totalsRowShown="0" headerRowDxfId="0" headerRowBorderDxfId="2" tableBorderDxfId="3">
  <autoFilter ref="A1:J151" xr:uid="{00000000-0009-0000-0000-000000000000}"/>
  <tableColumns count="10">
    <tableColumn id="1" xr3:uid="{4007EDC2-CA3B-425C-9841-E10A0AF21841}" name="Order_ID"/>
    <tableColumn id="2" xr3:uid="{329E021A-1EA5-4864-9D09-BAAE583D2F33}" name="Order_Date" dataDxfId="1"/>
    <tableColumn id="3" xr3:uid="{6925D0B7-B8A3-40F7-B482-736805C10B0B}" name="Customer_ID"/>
    <tableColumn id="4" xr3:uid="{DB0144BD-EFB3-48B5-BB3D-19A6703919EE}" name="Product_ID"/>
    <tableColumn id="5" xr3:uid="{CE896052-24B2-44C3-A26F-5C497507D754}" name="Quantity"/>
    <tableColumn id="6" xr3:uid="{212DA229-CFF8-4A34-95A4-7B0E36986442}" name="Unit_Price"/>
    <tableColumn id="7" xr3:uid="{A0CCD38A-1DBF-4AC6-B4D5-5FF06AD4D235}" name="Discount_%" dataCellStyle="Percent"/>
    <tableColumn id="8" xr3:uid="{DA8AA6B2-1691-42E5-954A-6D88C6AD380B}" name="Payment_Mode"/>
    <tableColumn id="9" xr3:uid="{4E16EE67-4D4A-4165-B075-C96C688EAD75}" name="Region"/>
    <tableColumn id="10" xr3:uid="{CCD3473C-A055-4CA8-BAFA-4529455DA1FB}" name="Salesperso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"/>
  <sheetViews>
    <sheetView tabSelected="1" topLeftCell="I1" workbookViewId="0">
      <pane ySplit="1" topLeftCell="A2" activePane="bottomLeft" state="frozen"/>
      <selection pane="bottomLeft" activeCell="T10" sqref="T10"/>
    </sheetView>
  </sheetViews>
  <sheetFormatPr defaultRowHeight="15" x14ac:dyDescent="0.25"/>
  <cols>
    <col min="1" max="1" width="12" customWidth="1"/>
    <col min="2" max="2" width="21" customWidth="1"/>
    <col min="3" max="3" width="14.5703125" customWidth="1"/>
    <col min="4" max="4" width="15.140625" customWidth="1"/>
    <col min="5" max="5" width="13.85546875" customWidth="1"/>
    <col min="6" max="6" width="17.85546875" customWidth="1"/>
    <col min="7" max="7" width="13.42578125" style="22" customWidth="1"/>
    <col min="8" max="8" width="17.28515625" customWidth="1"/>
    <col min="9" max="9" width="12" customWidth="1"/>
    <col min="10" max="10" width="16.85546875" customWidth="1"/>
    <col min="12" max="12" width="38.7109375" customWidth="1"/>
    <col min="13" max="13" width="14.5703125" customWidth="1"/>
    <col min="15" max="15" width="108.42578125" bestFit="1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1" t="s">
        <v>6</v>
      </c>
      <c r="H1" s="3" t="s">
        <v>7</v>
      </c>
      <c r="I1" s="3" t="s">
        <v>8</v>
      </c>
      <c r="J1" s="3" t="s">
        <v>9</v>
      </c>
    </row>
    <row r="2" spans="1:20" x14ac:dyDescent="0.25">
      <c r="A2" t="s">
        <v>10</v>
      </c>
      <c r="B2" s="1">
        <v>46037</v>
      </c>
      <c r="C2" t="s">
        <v>11</v>
      </c>
      <c r="D2" t="s">
        <v>12</v>
      </c>
      <c r="E2">
        <v>2</v>
      </c>
      <c r="F2">
        <v>2200</v>
      </c>
      <c r="G2" s="22">
        <v>0.12</v>
      </c>
      <c r="H2" t="s">
        <v>13</v>
      </c>
      <c r="I2" t="s">
        <v>14</v>
      </c>
      <c r="J2" t="s">
        <v>15</v>
      </c>
      <c r="L2" s="24" t="s">
        <v>348</v>
      </c>
      <c r="O2" s="23" t="s">
        <v>347</v>
      </c>
      <c r="R2" s="6" t="s">
        <v>13</v>
      </c>
      <c r="S2" s="6" t="s">
        <v>14</v>
      </c>
      <c r="T2" s="7" t="s">
        <v>50</v>
      </c>
    </row>
    <row r="3" spans="1:20" x14ac:dyDescent="0.25">
      <c r="A3" t="s">
        <v>16</v>
      </c>
      <c r="B3" s="1">
        <v>46097</v>
      </c>
      <c r="C3" t="s">
        <v>17</v>
      </c>
      <c r="D3" t="s">
        <v>18</v>
      </c>
      <c r="E3">
        <v>3</v>
      </c>
      <c r="F3">
        <v>12500</v>
      </c>
      <c r="G3" s="22">
        <v>0.08</v>
      </c>
      <c r="H3" t="s">
        <v>19</v>
      </c>
      <c r="I3" t="s">
        <v>20</v>
      </c>
      <c r="J3" t="s">
        <v>21</v>
      </c>
      <c r="L3" s="9" t="s">
        <v>329</v>
      </c>
      <c r="M3" s="9">
        <f>COUNTA(A2:A151)</f>
        <v>150</v>
      </c>
      <c r="O3" t="s">
        <v>337</v>
      </c>
      <c r="R3" s="6" t="s">
        <v>19</v>
      </c>
      <c r="S3" s="6" t="s">
        <v>20</v>
      </c>
      <c r="T3" s="7" t="s">
        <v>37</v>
      </c>
    </row>
    <row r="4" spans="1:20" x14ac:dyDescent="0.25">
      <c r="A4" t="s">
        <v>22</v>
      </c>
      <c r="B4" s="1">
        <v>46110</v>
      </c>
      <c r="C4" t="s">
        <v>23</v>
      </c>
      <c r="D4" t="s">
        <v>24</v>
      </c>
      <c r="E4">
        <v>2</v>
      </c>
      <c r="F4">
        <v>5500</v>
      </c>
      <c r="G4" s="22">
        <v>0.05</v>
      </c>
      <c r="H4" t="s">
        <v>25</v>
      </c>
      <c r="I4" t="s">
        <v>26</v>
      </c>
      <c r="J4" t="s">
        <v>27</v>
      </c>
      <c r="R4" s="6" t="s">
        <v>25</v>
      </c>
      <c r="S4" s="6" t="s">
        <v>26</v>
      </c>
      <c r="T4" s="7" t="s">
        <v>21</v>
      </c>
    </row>
    <row r="5" spans="1:20" x14ac:dyDescent="0.25">
      <c r="A5" t="s">
        <v>28</v>
      </c>
      <c r="B5" s="1">
        <v>46080</v>
      </c>
      <c r="C5" t="s">
        <v>29</v>
      </c>
      <c r="D5" t="s">
        <v>30</v>
      </c>
      <c r="E5">
        <v>1</v>
      </c>
      <c r="F5">
        <v>30000</v>
      </c>
      <c r="G5" s="22">
        <v>0.1</v>
      </c>
      <c r="H5" t="s">
        <v>19</v>
      </c>
      <c r="I5" t="s">
        <v>14</v>
      </c>
      <c r="J5" t="s">
        <v>31</v>
      </c>
      <c r="L5" s="9" t="s">
        <v>330</v>
      </c>
      <c r="M5" s="9">
        <f>SUM(E2:E53)</f>
        <v>139</v>
      </c>
      <c r="O5" t="s">
        <v>338</v>
      </c>
      <c r="R5" s="6" t="s">
        <v>35</v>
      </c>
      <c r="S5" s="6" t="s">
        <v>36</v>
      </c>
      <c r="T5" s="7" t="s">
        <v>15</v>
      </c>
    </row>
    <row r="6" spans="1:20" x14ac:dyDescent="0.25">
      <c r="A6" t="s">
        <v>32</v>
      </c>
      <c r="B6" s="1">
        <v>46077</v>
      </c>
      <c r="C6" t="s">
        <v>33</v>
      </c>
      <c r="D6" t="s">
        <v>34</v>
      </c>
      <c r="E6">
        <v>1</v>
      </c>
      <c r="F6">
        <v>9000</v>
      </c>
      <c r="G6" s="22">
        <v>0.1</v>
      </c>
      <c r="H6" t="s">
        <v>35</v>
      </c>
      <c r="I6" t="s">
        <v>36</v>
      </c>
      <c r="J6" t="s">
        <v>37</v>
      </c>
      <c r="S6" s="6" t="s">
        <v>40</v>
      </c>
      <c r="T6" s="7" t="s">
        <v>27</v>
      </c>
    </row>
    <row r="7" spans="1:20" x14ac:dyDescent="0.25">
      <c r="A7" t="s">
        <v>38</v>
      </c>
      <c r="B7" s="1">
        <v>46095</v>
      </c>
      <c r="C7" t="s">
        <v>39</v>
      </c>
      <c r="D7" t="s">
        <v>18</v>
      </c>
      <c r="E7">
        <v>3</v>
      </c>
      <c r="F7">
        <v>12500</v>
      </c>
      <c r="G7" s="22">
        <v>0.12</v>
      </c>
      <c r="H7" t="s">
        <v>19</v>
      </c>
      <c r="I7" t="s">
        <v>40</v>
      </c>
      <c r="J7" t="s">
        <v>27</v>
      </c>
      <c r="L7" s="9" t="s">
        <v>331</v>
      </c>
      <c r="M7" s="9">
        <f>M5/M3</f>
        <v>0.92666666666666664</v>
      </c>
      <c r="O7" t="s">
        <v>339</v>
      </c>
      <c r="T7" s="7" t="s">
        <v>31</v>
      </c>
    </row>
    <row r="8" spans="1:20" x14ac:dyDescent="0.25">
      <c r="A8" t="s">
        <v>41</v>
      </c>
      <c r="B8" s="1">
        <v>46031</v>
      </c>
      <c r="C8" t="s">
        <v>42</v>
      </c>
      <c r="D8" t="s">
        <v>43</v>
      </c>
      <c r="E8">
        <v>1</v>
      </c>
      <c r="F8">
        <v>2500</v>
      </c>
      <c r="G8" s="22">
        <v>0.05</v>
      </c>
      <c r="H8" t="s">
        <v>19</v>
      </c>
      <c r="I8" t="s">
        <v>20</v>
      </c>
      <c r="J8" t="s">
        <v>27</v>
      </c>
      <c r="T8" s="7" t="s">
        <v>161</v>
      </c>
    </row>
    <row r="9" spans="1:20" x14ac:dyDescent="0.25">
      <c r="A9" t="s">
        <v>44</v>
      </c>
      <c r="B9" s="1">
        <v>46030</v>
      </c>
      <c r="C9" t="s">
        <v>45</v>
      </c>
      <c r="D9" t="s">
        <v>46</v>
      </c>
      <c r="E9">
        <v>3</v>
      </c>
      <c r="F9">
        <v>42000</v>
      </c>
      <c r="G9" s="22">
        <v>0.1</v>
      </c>
      <c r="H9" t="s">
        <v>19</v>
      </c>
      <c r="I9" t="s">
        <v>14</v>
      </c>
      <c r="J9" t="s">
        <v>27</v>
      </c>
      <c r="L9" s="9" t="s">
        <v>19</v>
      </c>
      <c r="M9" s="9">
        <f>COUNTIF(H2:H92,L9)</f>
        <v>41</v>
      </c>
      <c r="O9" t="s">
        <v>340</v>
      </c>
      <c r="T9" s="7" t="s">
        <v>202</v>
      </c>
    </row>
    <row r="10" spans="1:20" ht="15.75" thickBot="1" x14ac:dyDescent="0.3">
      <c r="A10" t="s">
        <v>47</v>
      </c>
      <c r="B10" s="1">
        <v>46024</v>
      </c>
      <c r="C10" t="s">
        <v>48</v>
      </c>
      <c r="D10" t="s">
        <v>49</v>
      </c>
      <c r="E10">
        <v>4</v>
      </c>
      <c r="F10">
        <v>650</v>
      </c>
      <c r="H10" t="s">
        <v>19</v>
      </c>
      <c r="I10" t="s">
        <v>20</v>
      </c>
      <c r="J10" t="s">
        <v>50</v>
      </c>
    </row>
    <row r="11" spans="1:20" x14ac:dyDescent="0.25">
      <c r="A11" t="s">
        <v>51</v>
      </c>
      <c r="B11" s="1">
        <v>46056</v>
      </c>
      <c r="C11" t="s">
        <v>52</v>
      </c>
      <c r="D11" t="s">
        <v>49</v>
      </c>
      <c r="E11">
        <v>6</v>
      </c>
      <c r="F11">
        <v>650</v>
      </c>
      <c r="G11" s="22">
        <v>0.1</v>
      </c>
      <c r="H11" t="s">
        <v>25</v>
      </c>
      <c r="I11" t="s">
        <v>26</v>
      </c>
      <c r="J11" t="s">
        <v>50</v>
      </c>
      <c r="L11" s="14" t="s">
        <v>8</v>
      </c>
      <c r="M11" s="15" t="s">
        <v>332</v>
      </c>
      <c r="O11" t="s">
        <v>341</v>
      </c>
    </row>
    <row r="12" spans="1:20" ht="15.75" thickBot="1" x14ac:dyDescent="0.3">
      <c r="A12" t="s">
        <v>53</v>
      </c>
      <c r="B12" s="1">
        <v>46062</v>
      </c>
      <c r="C12" t="s">
        <v>54</v>
      </c>
      <c r="D12" t="s">
        <v>55</v>
      </c>
      <c r="E12">
        <v>5</v>
      </c>
      <c r="F12">
        <v>2800</v>
      </c>
      <c r="G12" s="22">
        <v>0.15</v>
      </c>
      <c r="H12" t="s">
        <v>19</v>
      </c>
      <c r="I12" t="s">
        <v>26</v>
      </c>
      <c r="J12" t="s">
        <v>37</v>
      </c>
      <c r="L12" s="16" t="s">
        <v>20</v>
      </c>
      <c r="M12" s="17">
        <f>COUNTIF(I2:I23,L12)</f>
        <v>6</v>
      </c>
    </row>
    <row r="13" spans="1:20" ht="15.75" thickBot="1" x14ac:dyDescent="0.3">
      <c r="A13" t="s">
        <v>56</v>
      </c>
      <c r="B13" s="1">
        <v>46082</v>
      </c>
      <c r="C13" t="s">
        <v>57</v>
      </c>
      <c r="D13" t="s">
        <v>58</v>
      </c>
      <c r="E13">
        <v>6</v>
      </c>
      <c r="F13">
        <v>2500</v>
      </c>
      <c r="G13" s="22">
        <v>0</v>
      </c>
      <c r="H13" t="s">
        <v>19</v>
      </c>
      <c r="I13" t="s">
        <v>14</v>
      </c>
      <c r="J13" t="s">
        <v>37</v>
      </c>
    </row>
    <row r="14" spans="1:20" ht="15.75" thickBot="1" x14ac:dyDescent="0.3">
      <c r="A14" t="s">
        <v>59</v>
      </c>
      <c r="B14" s="1">
        <v>46031</v>
      </c>
      <c r="C14" t="s">
        <v>17</v>
      </c>
      <c r="D14" t="s">
        <v>60</v>
      </c>
      <c r="E14">
        <v>5</v>
      </c>
      <c r="F14">
        <v>45000</v>
      </c>
      <c r="G14" s="22">
        <v>0.18</v>
      </c>
      <c r="H14" t="s">
        <v>19</v>
      </c>
      <c r="I14" t="s">
        <v>61</v>
      </c>
      <c r="J14" t="s">
        <v>21</v>
      </c>
      <c r="L14" s="11" t="s">
        <v>334</v>
      </c>
      <c r="M14" s="12">
        <f>COUNTIF(E2:E151,"&gt;=3")</f>
        <v>64</v>
      </c>
      <c r="O14" t="s">
        <v>342</v>
      </c>
    </row>
    <row r="15" spans="1:20" ht="15.75" thickBot="1" x14ac:dyDescent="0.3">
      <c r="A15" t="s">
        <v>62</v>
      </c>
      <c r="B15" s="1">
        <v>46057</v>
      </c>
      <c r="C15" t="s">
        <v>63</v>
      </c>
      <c r="D15" t="s">
        <v>18</v>
      </c>
      <c r="E15">
        <v>1</v>
      </c>
      <c r="F15">
        <v>12500</v>
      </c>
      <c r="G15" s="22">
        <v>0.2</v>
      </c>
      <c r="H15" t="s">
        <v>13</v>
      </c>
      <c r="I15" t="s">
        <v>14</v>
      </c>
      <c r="J15" t="s">
        <v>15</v>
      </c>
    </row>
    <row r="16" spans="1:20" ht="16.5" thickBot="1" x14ac:dyDescent="0.3">
      <c r="A16" t="s">
        <v>64</v>
      </c>
      <c r="B16" s="1">
        <v>46050</v>
      </c>
      <c r="C16" t="s">
        <v>65</v>
      </c>
      <c r="D16" t="s">
        <v>12</v>
      </c>
      <c r="E16">
        <v>6</v>
      </c>
      <c r="F16">
        <v>2200</v>
      </c>
      <c r="G16" s="22">
        <v>0</v>
      </c>
      <c r="H16" t="s">
        <v>25</v>
      </c>
      <c r="I16" t="s">
        <v>20</v>
      </c>
      <c r="J16" t="s">
        <v>15</v>
      </c>
      <c r="L16" s="18" t="s">
        <v>333</v>
      </c>
      <c r="M16" s="13">
        <f>COUNTIF(G2:G151,"&gt;10%")</f>
        <v>81</v>
      </c>
      <c r="O16" t="s">
        <v>343</v>
      </c>
    </row>
    <row r="17" spans="1:15" ht="15.75" thickBot="1" x14ac:dyDescent="0.3">
      <c r="A17" t="s">
        <v>66</v>
      </c>
      <c r="B17" s="1">
        <v>46084</v>
      </c>
      <c r="C17" t="s">
        <v>17</v>
      </c>
      <c r="D17" t="s">
        <v>60</v>
      </c>
      <c r="E17">
        <v>3</v>
      </c>
      <c r="F17">
        <v>45000</v>
      </c>
      <c r="G17" s="22">
        <v>0.18</v>
      </c>
      <c r="H17" t="s">
        <v>35</v>
      </c>
      <c r="I17" t="s">
        <v>20</v>
      </c>
      <c r="J17" t="s">
        <v>50</v>
      </c>
    </row>
    <row r="18" spans="1:15" ht="17.25" thickBot="1" x14ac:dyDescent="0.35">
      <c r="A18" t="s">
        <v>67</v>
      </c>
      <c r="B18" s="1">
        <v>46069</v>
      </c>
      <c r="C18" t="s">
        <v>68</v>
      </c>
      <c r="D18" t="s">
        <v>69</v>
      </c>
      <c r="E18">
        <v>1</v>
      </c>
      <c r="F18">
        <v>65000</v>
      </c>
      <c r="G18" s="22">
        <v>0.08</v>
      </c>
      <c r="H18" t="s">
        <v>25</v>
      </c>
      <c r="I18" t="s">
        <v>14</v>
      </c>
      <c r="J18" t="s">
        <v>15</v>
      </c>
      <c r="L18" s="19" t="s">
        <v>335</v>
      </c>
      <c r="M18" s="20">
        <f>COUNTIFS(H2:H151,"UPI",I2:I151,"East")</f>
        <v>13</v>
      </c>
      <c r="O18" t="s">
        <v>344</v>
      </c>
    </row>
    <row r="19" spans="1:15" ht="15.75" thickBot="1" x14ac:dyDescent="0.3">
      <c r="A19" t="s">
        <v>70</v>
      </c>
      <c r="B19" s="1">
        <v>46031</v>
      </c>
      <c r="C19" t="s">
        <v>71</v>
      </c>
      <c r="D19" t="s">
        <v>55</v>
      </c>
      <c r="E19">
        <v>3</v>
      </c>
      <c r="F19">
        <v>2800</v>
      </c>
      <c r="G19" s="22">
        <v>0.08</v>
      </c>
      <c r="H19" t="s">
        <v>35</v>
      </c>
      <c r="I19" t="s">
        <v>26</v>
      </c>
      <c r="J19" t="s">
        <v>27</v>
      </c>
    </row>
    <row r="20" spans="1:15" ht="17.25" thickBot="1" x14ac:dyDescent="0.35">
      <c r="A20" t="s">
        <v>72</v>
      </c>
      <c r="B20" s="1">
        <v>46074</v>
      </c>
      <c r="C20" t="s">
        <v>73</v>
      </c>
      <c r="D20" t="s">
        <v>74</v>
      </c>
      <c r="E20">
        <v>1</v>
      </c>
      <c r="F20">
        <v>5500</v>
      </c>
      <c r="G20" s="22">
        <v>0.18</v>
      </c>
      <c r="H20" t="s">
        <v>35</v>
      </c>
      <c r="I20" t="s">
        <v>14</v>
      </c>
      <c r="J20" t="s">
        <v>37</v>
      </c>
      <c r="L20" s="19" t="s">
        <v>336</v>
      </c>
      <c r="M20" s="12">
        <f>COUNTIFS(E2:E151,"&gt;=3",G2:G151,"&gt;=10%")</f>
        <v>40</v>
      </c>
      <c r="O20" t="s">
        <v>345</v>
      </c>
    </row>
    <row r="21" spans="1:15" x14ac:dyDescent="0.25">
      <c r="A21" t="s">
        <v>75</v>
      </c>
      <c r="B21" s="1">
        <v>46054</v>
      </c>
      <c r="C21" t="s">
        <v>65</v>
      </c>
      <c r="D21" t="s">
        <v>46</v>
      </c>
      <c r="E21">
        <v>2</v>
      </c>
      <c r="F21">
        <v>42000</v>
      </c>
      <c r="G21" s="22">
        <v>0.12</v>
      </c>
      <c r="H21" t="s">
        <v>19</v>
      </c>
      <c r="I21" t="s">
        <v>26</v>
      </c>
      <c r="J21" t="s">
        <v>27</v>
      </c>
    </row>
    <row r="22" spans="1:15" x14ac:dyDescent="0.25">
      <c r="A22" t="s">
        <v>76</v>
      </c>
      <c r="B22" s="1">
        <v>46084</v>
      </c>
      <c r="C22" t="s">
        <v>77</v>
      </c>
      <c r="D22" t="s">
        <v>78</v>
      </c>
      <c r="E22">
        <v>6</v>
      </c>
      <c r="F22">
        <v>1200</v>
      </c>
      <c r="G22" s="22">
        <v>0.12</v>
      </c>
      <c r="H22" t="s">
        <v>19</v>
      </c>
      <c r="I22" t="s">
        <v>20</v>
      </c>
      <c r="J22" t="s">
        <v>27</v>
      </c>
      <c r="L22" s="8" t="s">
        <v>9</v>
      </c>
      <c r="M22" s="10" t="s">
        <v>332</v>
      </c>
      <c r="O22" t="s">
        <v>346</v>
      </c>
    </row>
    <row r="23" spans="1:15" x14ac:dyDescent="0.25">
      <c r="A23" t="s">
        <v>79</v>
      </c>
      <c r="B23" s="1">
        <v>46084</v>
      </c>
      <c r="C23" t="s">
        <v>80</v>
      </c>
      <c r="D23" t="s">
        <v>81</v>
      </c>
      <c r="E23">
        <v>2</v>
      </c>
      <c r="F23">
        <v>3200</v>
      </c>
      <c r="G23" s="22">
        <v>0.15</v>
      </c>
      <c r="H23" t="s">
        <v>19</v>
      </c>
      <c r="I23" t="s">
        <v>36</v>
      </c>
      <c r="J23" t="s">
        <v>27</v>
      </c>
      <c r="L23" s="9" t="s">
        <v>27</v>
      </c>
      <c r="M23" s="9">
        <f>COUNTIF(J5:J151,L23)</f>
        <v>25</v>
      </c>
    </row>
    <row r="24" spans="1:15" x14ac:dyDescent="0.25">
      <c r="A24" t="s">
        <v>82</v>
      </c>
      <c r="B24" s="1">
        <v>46023</v>
      </c>
      <c r="C24" t="s">
        <v>77</v>
      </c>
      <c r="D24" t="s">
        <v>83</v>
      </c>
      <c r="E24">
        <v>3</v>
      </c>
      <c r="F24">
        <v>16000</v>
      </c>
      <c r="G24" s="22">
        <v>0.15</v>
      </c>
      <c r="H24" t="s">
        <v>35</v>
      </c>
      <c r="J24" t="s">
        <v>27</v>
      </c>
    </row>
    <row r="25" spans="1:15" x14ac:dyDescent="0.25">
      <c r="A25" t="s">
        <v>84</v>
      </c>
      <c r="B25" s="1">
        <v>46092</v>
      </c>
      <c r="C25" t="s">
        <v>85</v>
      </c>
      <c r="D25" t="s">
        <v>74</v>
      </c>
      <c r="E25">
        <v>5</v>
      </c>
      <c r="F25">
        <v>5500</v>
      </c>
      <c r="G25" s="22">
        <v>0.08</v>
      </c>
      <c r="H25" t="s">
        <v>35</v>
      </c>
      <c r="I25" t="s">
        <v>26</v>
      </c>
      <c r="J25" t="s">
        <v>37</v>
      </c>
    </row>
    <row r="26" spans="1:15" x14ac:dyDescent="0.25">
      <c r="A26" t="s">
        <v>86</v>
      </c>
      <c r="B26" s="1">
        <v>46066</v>
      </c>
      <c r="C26" t="s">
        <v>17</v>
      </c>
      <c r="D26" t="s">
        <v>60</v>
      </c>
      <c r="E26">
        <v>1</v>
      </c>
      <c r="F26">
        <v>45000</v>
      </c>
      <c r="G26" s="22">
        <v>0.05</v>
      </c>
      <c r="H26" t="s">
        <v>25</v>
      </c>
      <c r="I26" t="s">
        <v>26</v>
      </c>
      <c r="J26" t="s">
        <v>31</v>
      </c>
    </row>
    <row r="27" spans="1:15" x14ac:dyDescent="0.25">
      <c r="A27" t="s">
        <v>87</v>
      </c>
      <c r="B27" s="1">
        <v>46080</v>
      </c>
      <c r="C27" t="s">
        <v>33</v>
      </c>
      <c r="D27" t="s">
        <v>88</v>
      </c>
      <c r="E27">
        <v>1</v>
      </c>
      <c r="F27">
        <v>2200</v>
      </c>
      <c r="G27" s="22">
        <v>0.15</v>
      </c>
      <c r="H27" t="s">
        <v>19</v>
      </c>
      <c r="I27" t="s">
        <v>36</v>
      </c>
      <c r="J27" t="s">
        <v>15</v>
      </c>
    </row>
    <row r="28" spans="1:15" x14ac:dyDescent="0.25">
      <c r="A28" t="s">
        <v>89</v>
      </c>
      <c r="B28" s="1">
        <v>46078</v>
      </c>
      <c r="C28" t="s">
        <v>90</v>
      </c>
      <c r="D28" t="s">
        <v>69</v>
      </c>
      <c r="E28">
        <v>1</v>
      </c>
      <c r="F28">
        <v>65000</v>
      </c>
      <c r="G28" s="22">
        <v>0.12</v>
      </c>
      <c r="H28" t="s">
        <v>19</v>
      </c>
      <c r="I28" t="s">
        <v>26</v>
      </c>
      <c r="J28" t="s">
        <v>15</v>
      </c>
    </row>
    <row r="29" spans="1:15" x14ac:dyDescent="0.25">
      <c r="A29" t="s">
        <v>91</v>
      </c>
      <c r="B29" s="1">
        <v>46023</v>
      </c>
      <c r="C29" t="s">
        <v>92</v>
      </c>
      <c r="D29" t="s">
        <v>24</v>
      </c>
      <c r="E29">
        <v>3</v>
      </c>
      <c r="F29">
        <v>5500</v>
      </c>
      <c r="G29" s="22">
        <v>0.12</v>
      </c>
      <c r="H29" t="s">
        <v>35</v>
      </c>
      <c r="I29" t="s">
        <v>14</v>
      </c>
      <c r="J29" t="s">
        <v>27</v>
      </c>
    </row>
    <row r="30" spans="1:15" x14ac:dyDescent="0.25">
      <c r="A30" t="s">
        <v>93</v>
      </c>
      <c r="B30" s="1">
        <v>46077</v>
      </c>
      <c r="C30" t="s">
        <v>80</v>
      </c>
      <c r="D30" t="s">
        <v>94</v>
      </c>
      <c r="E30">
        <v>3</v>
      </c>
      <c r="F30">
        <v>4500</v>
      </c>
      <c r="G30" s="22">
        <v>0.1</v>
      </c>
      <c r="H30" t="s">
        <v>19</v>
      </c>
      <c r="I30" t="s">
        <v>95</v>
      </c>
      <c r="J30" t="s">
        <v>50</v>
      </c>
    </row>
    <row r="31" spans="1:15" x14ac:dyDescent="0.25">
      <c r="A31" t="s">
        <v>96</v>
      </c>
      <c r="B31" s="1">
        <v>46092</v>
      </c>
      <c r="C31" t="s">
        <v>29</v>
      </c>
      <c r="D31" t="s">
        <v>58</v>
      </c>
      <c r="E31">
        <v>2</v>
      </c>
      <c r="F31">
        <v>2500</v>
      </c>
      <c r="G31" s="22">
        <v>0.1</v>
      </c>
      <c r="H31" t="s">
        <v>35</v>
      </c>
      <c r="I31" t="s">
        <v>20</v>
      </c>
      <c r="J31" t="s">
        <v>31</v>
      </c>
    </row>
    <row r="32" spans="1:15" x14ac:dyDescent="0.25">
      <c r="A32" t="s">
        <v>97</v>
      </c>
      <c r="B32" s="1">
        <v>46025</v>
      </c>
      <c r="C32" t="s">
        <v>98</v>
      </c>
      <c r="D32" t="s">
        <v>99</v>
      </c>
      <c r="E32">
        <v>3</v>
      </c>
      <c r="F32">
        <v>8500</v>
      </c>
      <c r="G32" s="22">
        <v>0.2</v>
      </c>
      <c r="H32" t="s">
        <v>19</v>
      </c>
      <c r="I32" t="s">
        <v>20</v>
      </c>
      <c r="J32" t="s">
        <v>21</v>
      </c>
    </row>
    <row r="33" spans="1:10" x14ac:dyDescent="0.25">
      <c r="A33" t="s">
        <v>100</v>
      </c>
      <c r="B33" s="1">
        <v>46093</v>
      </c>
      <c r="C33" t="s">
        <v>33</v>
      </c>
      <c r="D33" t="s">
        <v>69</v>
      </c>
      <c r="E33">
        <v>1</v>
      </c>
      <c r="F33">
        <v>65000</v>
      </c>
      <c r="G33" s="22">
        <v>0.1</v>
      </c>
      <c r="H33" t="s">
        <v>25</v>
      </c>
      <c r="I33" t="s">
        <v>20</v>
      </c>
      <c r="J33" t="s">
        <v>15</v>
      </c>
    </row>
    <row r="34" spans="1:10" x14ac:dyDescent="0.25">
      <c r="A34" t="s">
        <v>101</v>
      </c>
      <c r="B34" s="1">
        <v>46079</v>
      </c>
      <c r="C34" t="s">
        <v>102</v>
      </c>
      <c r="D34" t="s">
        <v>103</v>
      </c>
      <c r="E34">
        <v>1</v>
      </c>
      <c r="F34">
        <v>7000</v>
      </c>
      <c r="G34" s="22">
        <v>0.08</v>
      </c>
      <c r="H34" t="s">
        <v>19</v>
      </c>
      <c r="I34" t="s">
        <v>36</v>
      </c>
      <c r="J34" t="s">
        <v>50</v>
      </c>
    </row>
    <row r="35" spans="1:10" x14ac:dyDescent="0.25">
      <c r="A35" t="s">
        <v>104</v>
      </c>
      <c r="B35" s="1">
        <v>46038</v>
      </c>
      <c r="C35" t="s">
        <v>42</v>
      </c>
      <c r="D35" t="s">
        <v>34</v>
      </c>
      <c r="E35">
        <v>1</v>
      </c>
      <c r="F35">
        <v>9000</v>
      </c>
      <c r="G35" s="22">
        <v>0.18</v>
      </c>
      <c r="H35" t="s">
        <v>25</v>
      </c>
      <c r="I35" t="s">
        <v>20</v>
      </c>
      <c r="J35" t="s">
        <v>27</v>
      </c>
    </row>
    <row r="36" spans="1:10" x14ac:dyDescent="0.25">
      <c r="A36" t="s">
        <v>105</v>
      </c>
      <c r="B36" s="1">
        <v>46070</v>
      </c>
      <c r="C36" t="s">
        <v>106</v>
      </c>
      <c r="D36" t="s">
        <v>107</v>
      </c>
      <c r="E36">
        <v>1</v>
      </c>
      <c r="F36">
        <v>1800</v>
      </c>
      <c r="G36" s="22">
        <v>0</v>
      </c>
      <c r="H36" t="s">
        <v>35</v>
      </c>
      <c r="I36" t="s">
        <v>20</v>
      </c>
      <c r="J36" t="s">
        <v>21</v>
      </c>
    </row>
    <row r="37" spans="1:10" x14ac:dyDescent="0.25">
      <c r="A37" t="s">
        <v>108</v>
      </c>
      <c r="B37" s="1">
        <v>46041</v>
      </c>
      <c r="C37" t="s">
        <v>109</v>
      </c>
      <c r="D37" t="s">
        <v>55</v>
      </c>
      <c r="E37">
        <v>5</v>
      </c>
      <c r="F37">
        <v>2800</v>
      </c>
      <c r="G37" s="22">
        <v>0</v>
      </c>
      <c r="H37" t="s">
        <v>25</v>
      </c>
      <c r="I37" t="s">
        <v>20</v>
      </c>
      <c r="J37" t="s">
        <v>50</v>
      </c>
    </row>
    <row r="38" spans="1:10" x14ac:dyDescent="0.25">
      <c r="A38" t="s">
        <v>110</v>
      </c>
      <c r="B38" s="1">
        <v>46097</v>
      </c>
      <c r="C38" t="s">
        <v>111</v>
      </c>
      <c r="D38" t="s">
        <v>58</v>
      </c>
      <c r="E38">
        <v>1</v>
      </c>
      <c r="F38">
        <v>2500</v>
      </c>
      <c r="G38" s="22">
        <v>0.2</v>
      </c>
      <c r="H38" t="s">
        <v>19</v>
      </c>
      <c r="I38" t="s">
        <v>26</v>
      </c>
      <c r="J38" t="s">
        <v>27</v>
      </c>
    </row>
    <row r="39" spans="1:10" x14ac:dyDescent="0.25">
      <c r="A39" t="s">
        <v>112</v>
      </c>
      <c r="B39" s="1">
        <v>46047</v>
      </c>
      <c r="C39" t="s">
        <v>113</v>
      </c>
      <c r="D39" t="s">
        <v>69</v>
      </c>
      <c r="E39">
        <v>5</v>
      </c>
      <c r="F39">
        <v>65000</v>
      </c>
      <c r="G39" s="22">
        <v>0.08</v>
      </c>
      <c r="H39" t="s">
        <v>19</v>
      </c>
      <c r="I39" t="s">
        <v>26</v>
      </c>
      <c r="J39" t="s">
        <v>15</v>
      </c>
    </row>
    <row r="40" spans="1:10" x14ac:dyDescent="0.25">
      <c r="A40" t="s">
        <v>114</v>
      </c>
      <c r="B40" s="1">
        <v>46102</v>
      </c>
      <c r="C40" t="s">
        <v>115</v>
      </c>
      <c r="D40" t="s">
        <v>78</v>
      </c>
      <c r="E40">
        <v>3</v>
      </c>
      <c r="F40">
        <v>1200</v>
      </c>
      <c r="G40" s="22">
        <v>0.08</v>
      </c>
      <c r="H40" t="s">
        <v>19</v>
      </c>
      <c r="I40" t="s">
        <v>20</v>
      </c>
      <c r="J40" t="s">
        <v>31</v>
      </c>
    </row>
    <row r="41" spans="1:10" x14ac:dyDescent="0.25">
      <c r="A41" t="s">
        <v>116</v>
      </c>
      <c r="B41" s="1">
        <v>46042</v>
      </c>
      <c r="C41" t="s">
        <v>117</v>
      </c>
      <c r="D41" t="s">
        <v>43</v>
      </c>
      <c r="E41">
        <v>2</v>
      </c>
      <c r="F41">
        <v>2500</v>
      </c>
      <c r="G41" s="22">
        <v>0.2</v>
      </c>
      <c r="H41" t="s">
        <v>35</v>
      </c>
      <c r="I41" t="s">
        <v>36</v>
      </c>
      <c r="J41" t="s">
        <v>21</v>
      </c>
    </row>
    <row r="42" spans="1:10" x14ac:dyDescent="0.25">
      <c r="A42" t="s">
        <v>118</v>
      </c>
      <c r="B42" s="1">
        <v>46098</v>
      </c>
      <c r="C42" t="s">
        <v>119</v>
      </c>
      <c r="D42" t="s">
        <v>107</v>
      </c>
      <c r="E42">
        <v>1</v>
      </c>
      <c r="F42">
        <v>1800</v>
      </c>
      <c r="G42" s="22">
        <v>0.2</v>
      </c>
      <c r="H42" t="s">
        <v>19</v>
      </c>
      <c r="I42" t="s">
        <v>36</v>
      </c>
      <c r="J42" t="s">
        <v>50</v>
      </c>
    </row>
    <row r="43" spans="1:10" x14ac:dyDescent="0.25">
      <c r="A43" t="s">
        <v>120</v>
      </c>
      <c r="B43" s="1">
        <v>46073</v>
      </c>
      <c r="C43" t="s">
        <v>121</v>
      </c>
      <c r="D43" t="s">
        <v>43</v>
      </c>
      <c r="E43">
        <v>3</v>
      </c>
      <c r="F43">
        <v>2500</v>
      </c>
      <c r="G43" s="22">
        <v>0.15</v>
      </c>
      <c r="H43" t="s">
        <v>25</v>
      </c>
      <c r="I43" t="s">
        <v>122</v>
      </c>
      <c r="J43" t="s">
        <v>15</v>
      </c>
    </row>
    <row r="44" spans="1:10" x14ac:dyDescent="0.25">
      <c r="A44" t="s">
        <v>123</v>
      </c>
      <c r="B44" s="1">
        <v>46086</v>
      </c>
      <c r="C44" t="s">
        <v>124</v>
      </c>
      <c r="D44" t="s">
        <v>30</v>
      </c>
      <c r="E44">
        <v>1</v>
      </c>
      <c r="F44">
        <v>30000</v>
      </c>
      <c r="G44" s="22">
        <v>0.1</v>
      </c>
      <c r="H44" t="s">
        <v>19</v>
      </c>
      <c r="I44" t="s">
        <v>14</v>
      </c>
      <c r="J44" t="s">
        <v>21</v>
      </c>
    </row>
    <row r="45" spans="1:10" x14ac:dyDescent="0.25">
      <c r="A45" t="s">
        <v>125</v>
      </c>
      <c r="B45" s="1">
        <v>46071</v>
      </c>
      <c r="C45" t="s">
        <v>90</v>
      </c>
      <c r="D45" t="s">
        <v>126</v>
      </c>
      <c r="E45">
        <v>1</v>
      </c>
      <c r="F45">
        <v>28000</v>
      </c>
      <c r="G45" s="22">
        <v>0.2</v>
      </c>
      <c r="H45" t="s">
        <v>25</v>
      </c>
      <c r="I45" t="s">
        <v>26</v>
      </c>
      <c r="J45" t="s">
        <v>37</v>
      </c>
    </row>
    <row r="46" spans="1:10" x14ac:dyDescent="0.25">
      <c r="A46" t="s">
        <v>127</v>
      </c>
      <c r="B46" s="1">
        <v>46059</v>
      </c>
      <c r="C46" t="s">
        <v>17</v>
      </c>
      <c r="D46" t="s">
        <v>43</v>
      </c>
      <c r="E46">
        <v>2</v>
      </c>
      <c r="F46">
        <v>2500</v>
      </c>
      <c r="G46" s="22">
        <v>0.15</v>
      </c>
      <c r="H46" t="s">
        <v>19</v>
      </c>
      <c r="I46" t="s">
        <v>26</v>
      </c>
      <c r="J46" t="s">
        <v>37</v>
      </c>
    </row>
    <row r="47" spans="1:10" x14ac:dyDescent="0.25">
      <c r="A47" t="s">
        <v>128</v>
      </c>
      <c r="B47" s="1">
        <v>46085</v>
      </c>
      <c r="C47" t="s">
        <v>54</v>
      </c>
      <c r="D47" t="s">
        <v>69</v>
      </c>
      <c r="E47">
        <v>1</v>
      </c>
      <c r="F47">
        <v>65000</v>
      </c>
      <c r="G47" s="22">
        <v>0.1</v>
      </c>
      <c r="H47" t="s">
        <v>19</v>
      </c>
      <c r="I47" t="s">
        <v>14</v>
      </c>
      <c r="J47" t="s">
        <v>21</v>
      </c>
    </row>
    <row r="48" spans="1:10" x14ac:dyDescent="0.25">
      <c r="A48" t="s">
        <v>129</v>
      </c>
      <c r="B48" s="1">
        <v>46076</v>
      </c>
      <c r="C48" t="s">
        <v>130</v>
      </c>
      <c r="D48" t="s">
        <v>49</v>
      </c>
      <c r="E48">
        <v>5</v>
      </c>
      <c r="F48">
        <v>650</v>
      </c>
      <c r="G48" s="22">
        <v>0.05</v>
      </c>
      <c r="H48" t="s">
        <v>25</v>
      </c>
      <c r="I48" t="s">
        <v>26</v>
      </c>
      <c r="J48" t="s">
        <v>15</v>
      </c>
    </row>
    <row r="49" spans="1:10" x14ac:dyDescent="0.25">
      <c r="A49" t="s">
        <v>131</v>
      </c>
      <c r="B49" s="1">
        <v>46088</v>
      </c>
      <c r="C49" t="s">
        <v>132</v>
      </c>
      <c r="D49" t="s">
        <v>46</v>
      </c>
      <c r="E49">
        <v>3</v>
      </c>
      <c r="F49">
        <v>42000</v>
      </c>
      <c r="G49" s="22">
        <v>0.18</v>
      </c>
      <c r="H49" t="s">
        <v>19</v>
      </c>
      <c r="I49" t="s">
        <v>26</v>
      </c>
      <c r="J49" t="s">
        <v>31</v>
      </c>
    </row>
    <row r="50" spans="1:10" x14ac:dyDescent="0.25">
      <c r="A50" t="s">
        <v>133</v>
      </c>
      <c r="B50" s="1">
        <v>46065</v>
      </c>
      <c r="C50" t="s">
        <v>121</v>
      </c>
      <c r="D50" t="s">
        <v>103</v>
      </c>
      <c r="E50">
        <v>1</v>
      </c>
      <c r="F50">
        <v>7000</v>
      </c>
      <c r="G50" s="22">
        <v>0</v>
      </c>
      <c r="H50" t="s">
        <v>19</v>
      </c>
      <c r="I50" t="s">
        <v>14</v>
      </c>
      <c r="J50" t="s">
        <v>15</v>
      </c>
    </row>
    <row r="51" spans="1:10" x14ac:dyDescent="0.25">
      <c r="A51" t="s">
        <v>134</v>
      </c>
      <c r="B51" s="1">
        <v>46072</v>
      </c>
      <c r="C51" t="s">
        <v>102</v>
      </c>
      <c r="D51" t="s">
        <v>55</v>
      </c>
      <c r="E51">
        <v>6</v>
      </c>
      <c r="F51">
        <v>2800</v>
      </c>
      <c r="G51" s="22">
        <v>0.08</v>
      </c>
      <c r="H51" t="s">
        <v>35</v>
      </c>
      <c r="I51" t="s">
        <v>20</v>
      </c>
      <c r="J51" t="s">
        <v>15</v>
      </c>
    </row>
    <row r="52" spans="1:10" x14ac:dyDescent="0.25">
      <c r="A52" t="s">
        <v>135</v>
      </c>
      <c r="B52" s="1">
        <v>46067</v>
      </c>
      <c r="C52" t="s">
        <v>98</v>
      </c>
      <c r="D52" t="s">
        <v>12</v>
      </c>
      <c r="E52">
        <v>5</v>
      </c>
      <c r="F52">
        <v>2200</v>
      </c>
      <c r="G52" s="22">
        <v>0.1</v>
      </c>
      <c r="H52" t="s">
        <v>35</v>
      </c>
      <c r="I52" t="s">
        <v>20</v>
      </c>
      <c r="J52" t="s">
        <v>50</v>
      </c>
    </row>
    <row r="53" spans="1:10" x14ac:dyDescent="0.25">
      <c r="A53" t="s">
        <v>136</v>
      </c>
      <c r="B53" s="1">
        <v>46037</v>
      </c>
      <c r="C53" t="s">
        <v>137</v>
      </c>
      <c r="D53" t="s">
        <v>138</v>
      </c>
      <c r="E53">
        <v>1</v>
      </c>
      <c r="F53">
        <v>3000</v>
      </c>
      <c r="G53" s="22">
        <v>0.18</v>
      </c>
      <c r="H53" t="s">
        <v>35</v>
      </c>
      <c r="I53" t="s">
        <v>20</v>
      </c>
      <c r="J53" t="s">
        <v>50</v>
      </c>
    </row>
    <row r="54" spans="1:10" x14ac:dyDescent="0.25">
      <c r="A54" t="s">
        <v>139</v>
      </c>
      <c r="B54" s="1">
        <v>46085</v>
      </c>
      <c r="C54" t="s">
        <v>29</v>
      </c>
      <c r="D54" t="s">
        <v>18</v>
      </c>
      <c r="F54">
        <v>12500</v>
      </c>
      <c r="G54" s="22">
        <v>0.05</v>
      </c>
      <c r="H54" t="s">
        <v>35</v>
      </c>
      <c r="I54" t="s">
        <v>26</v>
      </c>
      <c r="J54" t="s">
        <v>31</v>
      </c>
    </row>
    <row r="55" spans="1:10" x14ac:dyDescent="0.25">
      <c r="A55" t="s">
        <v>140</v>
      </c>
      <c r="B55" s="1">
        <v>46037</v>
      </c>
      <c r="C55" t="s">
        <v>121</v>
      </c>
      <c r="D55" t="s">
        <v>88</v>
      </c>
      <c r="E55">
        <v>6</v>
      </c>
      <c r="F55">
        <v>2200</v>
      </c>
      <c r="G55" s="22">
        <v>0.15</v>
      </c>
      <c r="H55" t="s">
        <v>35</v>
      </c>
      <c r="I55" t="s">
        <v>14</v>
      </c>
      <c r="J55" t="s">
        <v>31</v>
      </c>
    </row>
    <row r="56" spans="1:10" x14ac:dyDescent="0.25">
      <c r="A56" t="s">
        <v>141</v>
      </c>
      <c r="B56" s="1">
        <v>46027</v>
      </c>
      <c r="C56" t="s">
        <v>39</v>
      </c>
      <c r="D56" t="s">
        <v>103</v>
      </c>
      <c r="E56">
        <v>2</v>
      </c>
      <c r="F56">
        <v>7000</v>
      </c>
      <c r="G56" s="22">
        <v>0.1</v>
      </c>
      <c r="H56" t="s">
        <v>19</v>
      </c>
      <c r="I56" t="s">
        <v>14</v>
      </c>
      <c r="J56" t="s">
        <v>27</v>
      </c>
    </row>
    <row r="57" spans="1:10" x14ac:dyDescent="0.25">
      <c r="A57" t="s">
        <v>142</v>
      </c>
      <c r="B57" s="1">
        <v>46062</v>
      </c>
      <c r="C57" t="s">
        <v>33</v>
      </c>
      <c r="D57" t="s">
        <v>46</v>
      </c>
      <c r="E57">
        <v>1</v>
      </c>
      <c r="F57">
        <v>42000</v>
      </c>
      <c r="G57" s="22">
        <v>0.18</v>
      </c>
      <c r="H57" t="s">
        <v>19</v>
      </c>
      <c r="I57" t="s">
        <v>26</v>
      </c>
      <c r="J57" t="s">
        <v>27</v>
      </c>
    </row>
    <row r="58" spans="1:10" x14ac:dyDescent="0.25">
      <c r="A58" t="s">
        <v>143</v>
      </c>
      <c r="B58" s="1">
        <v>46085</v>
      </c>
      <c r="C58" t="s">
        <v>92</v>
      </c>
      <c r="D58" t="s">
        <v>34</v>
      </c>
      <c r="E58">
        <v>1</v>
      </c>
      <c r="F58">
        <v>9000</v>
      </c>
      <c r="G58" s="22">
        <v>0</v>
      </c>
      <c r="H58" t="s">
        <v>35</v>
      </c>
      <c r="I58" t="s">
        <v>36</v>
      </c>
      <c r="J58" t="s">
        <v>15</v>
      </c>
    </row>
    <row r="59" spans="1:10" x14ac:dyDescent="0.25">
      <c r="A59" t="s">
        <v>144</v>
      </c>
      <c r="B59" s="1">
        <v>46084</v>
      </c>
      <c r="C59" t="s">
        <v>145</v>
      </c>
      <c r="D59" t="s">
        <v>146</v>
      </c>
      <c r="E59">
        <v>6</v>
      </c>
      <c r="F59">
        <v>3500</v>
      </c>
      <c r="G59" s="22">
        <v>0.12</v>
      </c>
      <c r="H59" t="s">
        <v>35</v>
      </c>
      <c r="I59" t="s">
        <v>20</v>
      </c>
      <c r="J59" t="s">
        <v>37</v>
      </c>
    </row>
    <row r="60" spans="1:10" x14ac:dyDescent="0.25">
      <c r="A60" t="s">
        <v>147</v>
      </c>
      <c r="B60" s="1">
        <v>46023</v>
      </c>
      <c r="C60" t="s">
        <v>45</v>
      </c>
      <c r="D60" t="s">
        <v>60</v>
      </c>
      <c r="E60">
        <v>6</v>
      </c>
      <c r="F60">
        <v>45000</v>
      </c>
      <c r="G60" s="22">
        <v>0.05</v>
      </c>
      <c r="H60" t="s">
        <v>19</v>
      </c>
      <c r="I60" t="s">
        <v>26</v>
      </c>
      <c r="J60" t="s">
        <v>50</v>
      </c>
    </row>
    <row r="61" spans="1:10" x14ac:dyDescent="0.25">
      <c r="A61" t="s">
        <v>148</v>
      </c>
      <c r="B61" s="1">
        <v>46023</v>
      </c>
      <c r="C61" t="s">
        <v>149</v>
      </c>
      <c r="D61" t="s">
        <v>138</v>
      </c>
      <c r="E61">
        <v>5</v>
      </c>
      <c r="F61">
        <v>3000</v>
      </c>
      <c r="G61" s="22">
        <v>0.2</v>
      </c>
      <c r="H61" t="s">
        <v>35</v>
      </c>
      <c r="I61" t="s">
        <v>20</v>
      </c>
      <c r="J61" t="s">
        <v>37</v>
      </c>
    </row>
    <row r="62" spans="1:10" x14ac:dyDescent="0.25">
      <c r="A62" t="s">
        <v>150</v>
      </c>
      <c r="B62" s="1">
        <v>46098</v>
      </c>
      <c r="C62" t="s">
        <v>42</v>
      </c>
      <c r="D62" t="s">
        <v>24</v>
      </c>
      <c r="E62">
        <v>3</v>
      </c>
      <c r="F62">
        <v>5500</v>
      </c>
      <c r="G62" s="22">
        <v>0.08</v>
      </c>
      <c r="H62" t="s">
        <v>19</v>
      </c>
      <c r="I62" t="s">
        <v>14</v>
      </c>
      <c r="J62" t="s">
        <v>50</v>
      </c>
    </row>
    <row r="63" spans="1:10" x14ac:dyDescent="0.25">
      <c r="A63" t="s">
        <v>151</v>
      </c>
      <c r="B63" s="1">
        <v>46084</v>
      </c>
      <c r="C63" t="s">
        <v>33</v>
      </c>
      <c r="D63" t="s">
        <v>83</v>
      </c>
      <c r="E63">
        <v>2</v>
      </c>
      <c r="F63">
        <v>16000</v>
      </c>
      <c r="G63" s="22">
        <v>0.18</v>
      </c>
      <c r="H63" t="s">
        <v>19</v>
      </c>
      <c r="I63" t="s">
        <v>20</v>
      </c>
      <c r="J63" t="s">
        <v>15</v>
      </c>
    </row>
    <row r="64" spans="1:10" x14ac:dyDescent="0.25">
      <c r="A64" t="s">
        <v>152</v>
      </c>
      <c r="B64" s="1">
        <v>46055</v>
      </c>
      <c r="C64" t="s">
        <v>153</v>
      </c>
      <c r="D64" t="s">
        <v>138</v>
      </c>
      <c r="E64">
        <v>2</v>
      </c>
      <c r="F64">
        <v>3000</v>
      </c>
      <c r="G64" s="22">
        <v>0.18</v>
      </c>
      <c r="H64" t="s">
        <v>35</v>
      </c>
      <c r="I64" t="s">
        <v>26</v>
      </c>
      <c r="J64" t="s">
        <v>15</v>
      </c>
    </row>
    <row r="65" spans="1:10" x14ac:dyDescent="0.25">
      <c r="A65" t="s">
        <v>154</v>
      </c>
      <c r="B65" s="1">
        <v>46056</v>
      </c>
      <c r="C65" t="s">
        <v>33</v>
      </c>
      <c r="D65" t="s">
        <v>24</v>
      </c>
      <c r="E65">
        <v>2</v>
      </c>
      <c r="F65">
        <v>5500</v>
      </c>
      <c r="G65" s="22">
        <v>0.1</v>
      </c>
      <c r="H65" t="s">
        <v>19</v>
      </c>
      <c r="I65" t="s">
        <v>26</v>
      </c>
      <c r="J65" t="s">
        <v>21</v>
      </c>
    </row>
    <row r="66" spans="1:10" x14ac:dyDescent="0.25">
      <c r="A66" t="s">
        <v>155</v>
      </c>
      <c r="B66" s="1">
        <v>46026</v>
      </c>
      <c r="C66" t="s">
        <v>149</v>
      </c>
      <c r="D66" t="s">
        <v>60</v>
      </c>
      <c r="E66">
        <v>4</v>
      </c>
      <c r="F66">
        <v>45000</v>
      </c>
      <c r="G66" s="22">
        <v>0.12</v>
      </c>
      <c r="H66" t="s">
        <v>19</v>
      </c>
      <c r="I66" t="s">
        <v>36</v>
      </c>
      <c r="J66" t="s">
        <v>15</v>
      </c>
    </row>
    <row r="67" spans="1:10" x14ac:dyDescent="0.25">
      <c r="A67" t="s">
        <v>156</v>
      </c>
      <c r="B67" s="1">
        <v>46034</v>
      </c>
      <c r="C67" t="s">
        <v>157</v>
      </c>
      <c r="D67" t="s">
        <v>107</v>
      </c>
      <c r="E67">
        <v>2</v>
      </c>
      <c r="F67">
        <v>1800</v>
      </c>
      <c r="G67" s="22">
        <v>0.2</v>
      </c>
      <c r="H67" t="s">
        <v>35</v>
      </c>
      <c r="I67" t="s">
        <v>14</v>
      </c>
      <c r="J67" t="s">
        <v>31</v>
      </c>
    </row>
    <row r="68" spans="1:10" x14ac:dyDescent="0.25">
      <c r="A68" t="s">
        <v>158</v>
      </c>
      <c r="B68" s="1">
        <v>46089</v>
      </c>
      <c r="C68" t="s">
        <v>159</v>
      </c>
      <c r="D68" t="s">
        <v>18</v>
      </c>
      <c r="E68">
        <v>2</v>
      </c>
      <c r="F68">
        <v>12500</v>
      </c>
      <c r="G68" s="22">
        <v>0.1</v>
      </c>
      <c r="H68" t="s">
        <v>25</v>
      </c>
      <c r="I68" t="s">
        <v>26</v>
      </c>
      <c r="J68" t="s">
        <v>21</v>
      </c>
    </row>
    <row r="69" spans="1:10" x14ac:dyDescent="0.25">
      <c r="A69" t="s">
        <v>160</v>
      </c>
      <c r="B69" s="1">
        <v>46057</v>
      </c>
      <c r="C69" t="s">
        <v>145</v>
      </c>
      <c r="D69" t="s">
        <v>81</v>
      </c>
      <c r="E69">
        <v>1</v>
      </c>
      <c r="F69">
        <v>3200</v>
      </c>
      <c r="G69" s="22">
        <v>0.12</v>
      </c>
      <c r="H69" t="s">
        <v>19</v>
      </c>
      <c r="I69" t="s">
        <v>20</v>
      </c>
      <c r="J69" t="s">
        <v>161</v>
      </c>
    </row>
    <row r="70" spans="1:10" x14ac:dyDescent="0.25">
      <c r="A70" t="s">
        <v>162</v>
      </c>
      <c r="B70" s="1">
        <v>46056</v>
      </c>
      <c r="C70" t="s">
        <v>163</v>
      </c>
      <c r="D70" t="s">
        <v>34</v>
      </c>
      <c r="E70">
        <v>6</v>
      </c>
      <c r="F70">
        <v>9000</v>
      </c>
      <c r="G70" s="22">
        <v>0.15</v>
      </c>
      <c r="H70" t="s">
        <v>19</v>
      </c>
      <c r="I70" t="s">
        <v>20</v>
      </c>
      <c r="J70" t="s">
        <v>15</v>
      </c>
    </row>
    <row r="71" spans="1:10" x14ac:dyDescent="0.25">
      <c r="A71" t="s">
        <v>164</v>
      </c>
      <c r="B71" s="1">
        <v>46097</v>
      </c>
      <c r="C71" t="s">
        <v>113</v>
      </c>
      <c r="D71" t="s">
        <v>30</v>
      </c>
      <c r="E71">
        <v>1</v>
      </c>
      <c r="F71">
        <v>30000</v>
      </c>
      <c r="G71" s="22">
        <v>0.12</v>
      </c>
      <c r="H71" t="s">
        <v>19</v>
      </c>
      <c r="I71" t="s">
        <v>14</v>
      </c>
      <c r="J71" t="s">
        <v>37</v>
      </c>
    </row>
    <row r="72" spans="1:10" x14ac:dyDescent="0.25">
      <c r="A72" t="s">
        <v>165</v>
      </c>
      <c r="B72" s="1">
        <v>46095</v>
      </c>
      <c r="C72" t="s">
        <v>17</v>
      </c>
      <c r="D72" t="s">
        <v>83</v>
      </c>
      <c r="E72">
        <v>2</v>
      </c>
      <c r="F72">
        <v>16000</v>
      </c>
      <c r="G72" s="22">
        <v>0.05</v>
      </c>
      <c r="H72" t="s">
        <v>13</v>
      </c>
      <c r="I72" t="s">
        <v>14</v>
      </c>
      <c r="J72" t="s">
        <v>21</v>
      </c>
    </row>
    <row r="73" spans="1:10" x14ac:dyDescent="0.25">
      <c r="A73" t="s">
        <v>166</v>
      </c>
      <c r="B73" s="1">
        <v>46046</v>
      </c>
      <c r="C73" t="s">
        <v>145</v>
      </c>
      <c r="D73" t="s">
        <v>138</v>
      </c>
      <c r="E73">
        <v>2</v>
      </c>
      <c r="F73">
        <v>3000</v>
      </c>
      <c r="G73" s="22">
        <v>0.05</v>
      </c>
      <c r="H73" t="s">
        <v>25</v>
      </c>
      <c r="I73" t="s">
        <v>14</v>
      </c>
      <c r="J73" t="s">
        <v>27</v>
      </c>
    </row>
    <row r="74" spans="1:10" x14ac:dyDescent="0.25">
      <c r="A74" t="s">
        <v>167</v>
      </c>
      <c r="B74" s="1">
        <v>46045</v>
      </c>
      <c r="C74" t="s">
        <v>102</v>
      </c>
      <c r="D74" t="s">
        <v>107</v>
      </c>
      <c r="E74">
        <v>3</v>
      </c>
      <c r="F74">
        <v>1800</v>
      </c>
      <c r="G74" s="22">
        <v>0.12</v>
      </c>
      <c r="H74" t="s">
        <v>19</v>
      </c>
      <c r="I74" t="s">
        <v>26</v>
      </c>
      <c r="J74" t="s">
        <v>31</v>
      </c>
    </row>
    <row r="75" spans="1:10" x14ac:dyDescent="0.25">
      <c r="A75" t="s">
        <v>168</v>
      </c>
      <c r="B75" s="1">
        <v>46111</v>
      </c>
      <c r="C75" t="s">
        <v>169</v>
      </c>
      <c r="D75" t="s">
        <v>107</v>
      </c>
      <c r="E75">
        <v>2</v>
      </c>
      <c r="F75">
        <v>1800</v>
      </c>
      <c r="G75" s="22">
        <v>0.2</v>
      </c>
      <c r="H75" t="s">
        <v>19</v>
      </c>
      <c r="I75" t="s">
        <v>36</v>
      </c>
      <c r="J75" t="s">
        <v>31</v>
      </c>
    </row>
    <row r="76" spans="1:10" x14ac:dyDescent="0.25">
      <c r="A76" t="s">
        <v>170</v>
      </c>
      <c r="B76" s="1">
        <v>46098</v>
      </c>
      <c r="C76" t="s">
        <v>171</v>
      </c>
      <c r="D76" t="s">
        <v>126</v>
      </c>
      <c r="E76">
        <v>5</v>
      </c>
      <c r="F76">
        <v>28000</v>
      </c>
      <c r="G76" s="22">
        <v>0.08</v>
      </c>
      <c r="H76" t="s">
        <v>19</v>
      </c>
      <c r="I76" t="s">
        <v>26</v>
      </c>
      <c r="J76" t="s">
        <v>27</v>
      </c>
    </row>
    <row r="77" spans="1:10" x14ac:dyDescent="0.25">
      <c r="A77" t="s">
        <v>172</v>
      </c>
      <c r="B77" s="1">
        <v>46038</v>
      </c>
      <c r="C77" t="s">
        <v>173</v>
      </c>
      <c r="D77" t="s">
        <v>18</v>
      </c>
      <c r="E77">
        <v>6</v>
      </c>
      <c r="F77">
        <v>12500</v>
      </c>
      <c r="G77" s="22">
        <v>0.18</v>
      </c>
      <c r="H77" t="s">
        <v>19</v>
      </c>
      <c r="I77" t="s">
        <v>20</v>
      </c>
      <c r="J77" t="s">
        <v>31</v>
      </c>
    </row>
    <row r="78" spans="1:10" x14ac:dyDescent="0.25">
      <c r="A78" t="s">
        <v>174</v>
      </c>
      <c r="B78" s="1">
        <v>46075</v>
      </c>
      <c r="C78" t="s">
        <v>145</v>
      </c>
      <c r="D78" t="s">
        <v>88</v>
      </c>
      <c r="E78">
        <v>2</v>
      </c>
      <c r="F78">
        <v>2200</v>
      </c>
      <c r="G78" s="22">
        <v>0.1</v>
      </c>
      <c r="H78" t="s">
        <v>13</v>
      </c>
      <c r="I78" t="s">
        <v>36</v>
      </c>
      <c r="J78" t="s">
        <v>37</v>
      </c>
    </row>
    <row r="79" spans="1:10" x14ac:dyDescent="0.25">
      <c r="A79" t="s">
        <v>175</v>
      </c>
      <c r="B79" s="1">
        <v>46061</v>
      </c>
      <c r="C79" t="s">
        <v>68</v>
      </c>
      <c r="D79" t="s">
        <v>30</v>
      </c>
      <c r="E79">
        <v>6</v>
      </c>
      <c r="F79">
        <v>30000</v>
      </c>
      <c r="G79" s="22">
        <v>0.05</v>
      </c>
      <c r="H79" t="s">
        <v>35</v>
      </c>
      <c r="I79" t="s">
        <v>14</v>
      </c>
      <c r="J79" t="s">
        <v>21</v>
      </c>
    </row>
    <row r="80" spans="1:10" x14ac:dyDescent="0.25">
      <c r="A80" t="s">
        <v>176</v>
      </c>
      <c r="B80" s="1">
        <v>46098</v>
      </c>
      <c r="C80" t="s">
        <v>171</v>
      </c>
      <c r="D80" t="s">
        <v>55</v>
      </c>
      <c r="E80">
        <v>1</v>
      </c>
      <c r="F80">
        <v>2800</v>
      </c>
      <c r="G80" s="22">
        <v>0.18</v>
      </c>
      <c r="H80" t="s">
        <v>13</v>
      </c>
      <c r="I80" t="s">
        <v>20</v>
      </c>
      <c r="J80" t="s">
        <v>31</v>
      </c>
    </row>
    <row r="81" spans="1:10" x14ac:dyDescent="0.25">
      <c r="A81" t="s">
        <v>177</v>
      </c>
      <c r="B81" s="1">
        <v>46035</v>
      </c>
      <c r="C81" t="s">
        <v>178</v>
      </c>
      <c r="D81" t="s">
        <v>94</v>
      </c>
      <c r="E81">
        <v>3</v>
      </c>
      <c r="F81">
        <v>4500</v>
      </c>
      <c r="G81" s="22">
        <v>0.15</v>
      </c>
      <c r="H81" t="s">
        <v>19</v>
      </c>
      <c r="I81" t="s">
        <v>26</v>
      </c>
      <c r="J81" t="s">
        <v>21</v>
      </c>
    </row>
    <row r="82" spans="1:10" x14ac:dyDescent="0.25">
      <c r="A82" t="s">
        <v>179</v>
      </c>
      <c r="B82" s="1">
        <v>46059</v>
      </c>
      <c r="C82" t="s">
        <v>180</v>
      </c>
      <c r="D82" t="s">
        <v>78</v>
      </c>
      <c r="E82">
        <v>2</v>
      </c>
      <c r="F82">
        <v>1200</v>
      </c>
      <c r="G82" s="22">
        <v>0.12</v>
      </c>
      <c r="H82" t="s">
        <v>25</v>
      </c>
      <c r="I82" t="s">
        <v>20</v>
      </c>
      <c r="J82" t="s">
        <v>37</v>
      </c>
    </row>
    <row r="83" spans="1:10" x14ac:dyDescent="0.25">
      <c r="A83" t="s">
        <v>181</v>
      </c>
      <c r="B83" s="1">
        <v>46039</v>
      </c>
      <c r="C83" t="s">
        <v>65</v>
      </c>
      <c r="D83" t="s">
        <v>60</v>
      </c>
      <c r="E83">
        <v>3</v>
      </c>
      <c r="F83">
        <v>45000</v>
      </c>
      <c r="G83" s="22">
        <v>0.1</v>
      </c>
      <c r="H83" t="s">
        <v>25</v>
      </c>
      <c r="I83" t="s">
        <v>20</v>
      </c>
      <c r="J83" t="s">
        <v>27</v>
      </c>
    </row>
    <row r="84" spans="1:10" x14ac:dyDescent="0.25">
      <c r="A84" t="s">
        <v>182</v>
      </c>
      <c r="B84" s="1">
        <v>46076</v>
      </c>
      <c r="C84" t="s">
        <v>39</v>
      </c>
      <c r="D84" t="s">
        <v>94</v>
      </c>
      <c r="E84">
        <v>1</v>
      </c>
      <c r="F84">
        <v>4500</v>
      </c>
      <c r="G84" s="22">
        <v>0.12</v>
      </c>
      <c r="H84" t="s">
        <v>35</v>
      </c>
      <c r="I84" t="s">
        <v>26</v>
      </c>
      <c r="J84" t="s">
        <v>21</v>
      </c>
    </row>
    <row r="85" spans="1:10" x14ac:dyDescent="0.25">
      <c r="A85" t="s">
        <v>183</v>
      </c>
      <c r="B85" s="1">
        <v>46035</v>
      </c>
      <c r="C85" t="s">
        <v>157</v>
      </c>
      <c r="D85" t="s">
        <v>12</v>
      </c>
      <c r="E85">
        <v>1</v>
      </c>
      <c r="F85">
        <v>2200</v>
      </c>
      <c r="G85" s="22">
        <v>0.12</v>
      </c>
      <c r="H85" t="s">
        <v>35</v>
      </c>
      <c r="I85" t="s">
        <v>26</v>
      </c>
      <c r="J85" t="s">
        <v>184</v>
      </c>
    </row>
    <row r="86" spans="1:10" x14ac:dyDescent="0.25">
      <c r="A86" t="s">
        <v>185</v>
      </c>
      <c r="B86" s="1">
        <v>46023</v>
      </c>
      <c r="C86" t="s">
        <v>186</v>
      </c>
      <c r="D86" t="s">
        <v>103</v>
      </c>
      <c r="E86">
        <v>5</v>
      </c>
      <c r="F86">
        <v>7000</v>
      </c>
      <c r="G86" s="22">
        <v>0.18</v>
      </c>
      <c r="H86" t="s">
        <v>35</v>
      </c>
      <c r="I86" t="s">
        <v>26</v>
      </c>
      <c r="J86" t="s">
        <v>31</v>
      </c>
    </row>
    <row r="87" spans="1:10" x14ac:dyDescent="0.25">
      <c r="A87" t="s">
        <v>187</v>
      </c>
      <c r="B87" s="1">
        <v>46055</v>
      </c>
      <c r="C87" t="s">
        <v>180</v>
      </c>
      <c r="D87" t="s">
        <v>107</v>
      </c>
      <c r="E87">
        <v>5</v>
      </c>
      <c r="F87">
        <v>1800</v>
      </c>
      <c r="G87" s="22">
        <v>0.2</v>
      </c>
      <c r="H87" t="s">
        <v>35</v>
      </c>
      <c r="I87" t="s">
        <v>26</v>
      </c>
      <c r="J87" t="s">
        <v>27</v>
      </c>
    </row>
    <row r="88" spans="1:10" x14ac:dyDescent="0.25">
      <c r="A88" t="s">
        <v>188</v>
      </c>
      <c r="B88" s="1">
        <v>46107</v>
      </c>
      <c r="C88" t="s">
        <v>80</v>
      </c>
      <c r="D88" t="s">
        <v>74</v>
      </c>
      <c r="E88">
        <v>2</v>
      </c>
      <c r="F88">
        <v>5500</v>
      </c>
      <c r="G88" s="22">
        <v>0.2</v>
      </c>
      <c r="H88" t="s">
        <v>25</v>
      </c>
      <c r="I88" t="s">
        <v>20</v>
      </c>
      <c r="J88" t="s">
        <v>21</v>
      </c>
    </row>
    <row r="89" spans="1:10" x14ac:dyDescent="0.25">
      <c r="A89" t="s">
        <v>189</v>
      </c>
      <c r="B89" s="1">
        <v>46040</v>
      </c>
      <c r="C89" t="s">
        <v>45</v>
      </c>
      <c r="D89" t="s">
        <v>18</v>
      </c>
      <c r="E89">
        <v>2</v>
      </c>
      <c r="F89">
        <v>12500</v>
      </c>
      <c r="G89" s="22">
        <v>0</v>
      </c>
      <c r="H89" t="s">
        <v>35</v>
      </c>
      <c r="I89" t="s">
        <v>26</v>
      </c>
      <c r="J89" t="s">
        <v>31</v>
      </c>
    </row>
    <row r="90" spans="1:10" x14ac:dyDescent="0.25">
      <c r="A90" t="s">
        <v>190</v>
      </c>
      <c r="B90" s="1">
        <v>46025</v>
      </c>
      <c r="C90" t="s">
        <v>149</v>
      </c>
      <c r="D90" t="s">
        <v>30</v>
      </c>
      <c r="E90">
        <v>3</v>
      </c>
      <c r="F90">
        <v>30000</v>
      </c>
      <c r="G90" s="22">
        <v>0.15</v>
      </c>
      <c r="H90" t="s">
        <v>13</v>
      </c>
      <c r="I90" t="s">
        <v>36</v>
      </c>
      <c r="J90" t="s">
        <v>27</v>
      </c>
    </row>
    <row r="91" spans="1:10" x14ac:dyDescent="0.25">
      <c r="A91" t="s">
        <v>191</v>
      </c>
      <c r="B91" s="1">
        <v>46098</v>
      </c>
      <c r="C91" t="s">
        <v>17</v>
      </c>
      <c r="D91" t="s">
        <v>34</v>
      </c>
      <c r="E91">
        <v>4</v>
      </c>
      <c r="F91">
        <v>9000</v>
      </c>
      <c r="G91" s="22">
        <v>0.15</v>
      </c>
      <c r="H91" t="s">
        <v>35</v>
      </c>
      <c r="I91" t="s">
        <v>20</v>
      </c>
      <c r="J91" t="s">
        <v>15</v>
      </c>
    </row>
    <row r="92" spans="1:10" x14ac:dyDescent="0.25">
      <c r="A92" t="s">
        <v>192</v>
      </c>
      <c r="B92" s="1">
        <v>46080</v>
      </c>
      <c r="C92" t="s">
        <v>57</v>
      </c>
      <c r="D92" t="s">
        <v>126</v>
      </c>
      <c r="E92">
        <v>6</v>
      </c>
      <c r="F92">
        <v>28000</v>
      </c>
      <c r="G92" s="22">
        <v>0.2</v>
      </c>
      <c r="H92" t="s">
        <v>35</v>
      </c>
      <c r="I92" t="s">
        <v>20</v>
      </c>
      <c r="J92" t="s">
        <v>37</v>
      </c>
    </row>
    <row r="93" spans="1:10" x14ac:dyDescent="0.25">
      <c r="A93" t="s">
        <v>193</v>
      </c>
      <c r="B93" s="1">
        <v>46049</v>
      </c>
      <c r="C93" t="s">
        <v>121</v>
      </c>
      <c r="D93" t="s">
        <v>99</v>
      </c>
      <c r="E93">
        <v>2</v>
      </c>
      <c r="F93">
        <v>8500</v>
      </c>
      <c r="G93" s="22">
        <v>0.2</v>
      </c>
      <c r="I93" t="s">
        <v>14</v>
      </c>
      <c r="J93" t="s">
        <v>31</v>
      </c>
    </row>
    <row r="94" spans="1:10" x14ac:dyDescent="0.25">
      <c r="A94" t="s">
        <v>194</v>
      </c>
      <c r="B94" s="1">
        <v>46051</v>
      </c>
      <c r="C94" t="s">
        <v>195</v>
      </c>
      <c r="D94" t="s">
        <v>30</v>
      </c>
      <c r="E94">
        <v>2</v>
      </c>
      <c r="F94">
        <v>30000</v>
      </c>
      <c r="G94" s="22">
        <v>0.12</v>
      </c>
      <c r="H94" t="s">
        <v>25</v>
      </c>
      <c r="I94" t="s">
        <v>14</v>
      </c>
      <c r="J94" t="s">
        <v>50</v>
      </c>
    </row>
    <row r="95" spans="1:10" x14ac:dyDescent="0.25">
      <c r="A95" t="s">
        <v>196</v>
      </c>
      <c r="B95" s="1">
        <v>46091</v>
      </c>
      <c r="C95" t="s">
        <v>45</v>
      </c>
      <c r="D95" t="s">
        <v>49</v>
      </c>
      <c r="E95">
        <v>1</v>
      </c>
      <c r="F95">
        <v>650</v>
      </c>
      <c r="G95" s="22">
        <v>0.2</v>
      </c>
      <c r="H95" t="s">
        <v>25</v>
      </c>
      <c r="I95" t="s">
        <v>26</v>
      </c>
      <c r="J95" t="s">
        <v>50</v>
      </c>
    </row>
    <row r="96" spans="1:10" x14ac:dyDescent="0.25">
      <c r="A96" t="s">
        <v>197</v>
      </c>
      <c r="B96" s="1">
        <v>46055</v>
      </c>
      <c r="C96" t="s">
        <v>121</v>
      </c>
      <c r="D96" t="s">
        <v>49</v>
      </c>
      <c r="E96">
        <v>2</v>
      </c>
      <c r="F96">
        <v>650</v>
      </c>
      <c r="G96" s="22">
        <v>0.18</v>
      </c>
      <c r="H96" t="s">
        <v>13</v>
      </c>
      <c r="I96" t="s">
        <v>20</v>
      </c>
      <c r="J96" t="s">
        <v>31</v>
      </c>
    </row>
    <row r="97" spans="1:10" x14ac:dyDescent="0.25">
      <c r="A97" t="s">
        <v>198</v>
      </c>
      <c r="B97" s="1">
        <v>46085</v>
      </c>
      <c r="C97" t="s">
        <v>102</v>
      </c>
      <c r="D97" t="s">
        <v>199</v>
      </c>
      <c r="E97">
        <v>2</v>
      </c>
      <c r="F97">
        <v>18000</v>
      </c>
      <c r="G97" s="22">
        <v>0.05</v>
      </c>
      <c r="H97" t="s">
        <v>25</v>
      </c>
      <c r="I97" t="s">
        <v>36</v>
      </c>
      <c r="J97" t="s">
        <v>31</v>
      </c>
    </row>
    <row r="98" spans="1:10" x14ac:dyDescent="0.25">
      <c r="A98" t="s">
        <v>200</v>
      </c>
      <c r="B98" s="1">
        <v>46023</v>
      </c>
      <c r="C98" t="s">
        <v>54</v>
      </c>
      <c r="D98" t="s">
        <v>74</v>
      </c>
      <c r="E98">
        <v>1</v>
      </c>
      <c r="F98">
        <v>5500</v>
      </c>
      <c r="G98" s="22">
        <v>0.05</v>
      </c>
      <c r="H98" t="s">
        <v>19</v>
      </c>
      <c r="I98" t="s">
        <v>26</v>
      </c>
      <c r="J98" t="s">
        <v>27</v>
      </c>
    </row>
    <row r="99" spans="1:10" x14ac:dyDescent="0.25">
      <c r="A99" t="s">
        <v>201</v>
      </c>
      <c r="B99" s="1">
        <v>46027</v>
      </c>
      <c r="C99" t="s">
        <v>180</v>
      </c>
      <c r="D99" t="s">
        <v>107</v>
      </c>
      <c r="E99">
        <v>2</v>
      </c>
      <c r="F99">
        <v>1800</v>
      </c>
      <c r="G99" s="22">
        <v>0.18</v>
      </c>
      <c r="H99" t="s">
        <v>25</v>
      </c>
      <c r="I99" t="s">
        <v>36</v>
      </c>
      <c r="J99" t="s">
        <v>202</v>
      </c>
    </row>
    <row r="100" spans="1:10" x14ac:dyDescent="0.25">
      <c r="A100" t="s">
        <v>203</v>
      </c>
      <c r="B100" s="1">
        <v>46096</v>
      </c>
      <c r="C100" t="s">
        <v>92</v>
      </c>
      <c r="D100" t="s">
        <v>30</v>
      </c>
      <c r="E100">
        <v>2</v>
      </c>
      <c r="F100">
        <v>30000</v>
      </c>
      <c r="G100" s="22">
        <v>0.05</v>
      </c>
      <c r="H100" t="s">
        <v>19</v>
      </c>
      <c r="I100" t="s">
        <v>26</v>
      </c>
      <c r="J100" t="s">
        <v>31</v>
      </c>
    </row>
    <row r="101" spans="1:10" x14ac:dyDescent="0.25">
      <c r="A101" t="s">
        <v>204</v>
      </c>
      <c r="B101" s="1">
        <v>46067</v>
      </c>
      <c r="C101" t="s">
        <v>195</v>
      </c>
      <c r="D101" t="s">
        <v>43</v>
      </c>
      <c r="E101">
        <v>1</v>
      </c>
      <c r="F101">
        <v>2500</v>
      </c>
      <c r="G101" s="22">
        <v>0.08</v>
      </c>
      <c r="H101" t="s">
        <v>19</v>
      </c>
      <c r="I101" t="s">
        <v>14</v>
      </c>
      <c r="J101" t="s">
        <v>31</v>
      </c>
    </row>
    <row r="102" spans="1:10" x14ac:dyDescent="0.25">
      <c r="A102" t="s">
        <v>205</v>
      </c>
      <c r="B102" s="1">
        <v>46094</v>
      </c>
      <c r="C102" t="s">
        <v>39</v>
      </c>
      <c r="D102" t="s">
        <v>103</v>
      </c>
      <c r="E102">
        <v>1</v>
      </c>
      <c r="F102">
        <v>7000</v>
      </c>
      <c r="G102" s="22">
        <v>0.1</v>
      </c>
      <c r="H102" t="s">
        <v>35</v>
      </c>
      <c r="I102" t="s">
        <v>26</v>
      </c>
      <c r="J102" t="s">
        <v>50</v>
      </c>
    </row>
    <row r="103" spans="1:10" x14ac:dyDescent="0.25">
      <c r="A103" t="s">
        <v>206</v>
      </c>
      <c r="B103" s="1">
        <v>46072</v>
      </c>
      <c r="C103" t="s">
        <v>106</v>
      </c>
      <c r="D103" t="s">
        <v>24</v>
      </c>
      <c r="E103">
        <v>1</v>
      </c>
      <c r="F103">
        <v>5500</v>
      </c>
      <c r="G103" s="22">
        <v>0.08</v>
      </c>
      <c r="H103" t="s">
        <v>13</v>
      </c>
      <c r="I103" t="s">
        <v>20</v>
      </c>
      <c r="J103" t="s">
        <v>37</v>
      </c>
    </row>
    <row r="104" spans="1:10" x14ac:dyDescent="0.25">
      <c r="A104" t="s">
        <v>207</v>
      </c>
      <c r="B104" s="1">
        <v>46069</v>
      </c>
      <c r="C104" t="s">
        <v>145</v>
      </c>
      <c r="D104" t="s">
        <v>83</v>
      </c>
      <c r="E104">
        <v>1</v>
      </c>
      <c r="F104">
        <v>16000</v>
      </c>
      <c r="G104" s="22">
        <v>0.2</v>
      </c>
      <c r="H104" t="s">
        <v>13</v>
      </c>
      <c r="I104" t="s">
        <v>14</v>
      </c>
      <c r="J104" t="s">
        <v>50</v>
      </c>
    </row>
    <row r="105" spans="1:10" x14ac:dyDescent="0.25">
      <c r="A105" t="s">
        <v>208</v>
      </c>
      <c r="B105" s="1">
        <v>46060</v>
      </c>
      <c r="C105" t="s">
        <v>57</v>
      </c>
      <c r="D105" t="s">
        <v>78</v>
      </c>
      <c r="E105">
        <v>1</v>
      </c>
      <c r="F105">
        <v>1200</v>
      </c>
      <c r="G105" s="22">
        <v>0.18</v>
      </c>
      <c r="H105" t="s">
        <v>25</v>
      </c>
      <c r="I105" t="s">
        <v>26</v>
      </c>
      <c r="J105" t="s">
        <v>15</v>
      </c>
    </row>
    <row r="106" spans="1:10" x14ac:dyDescent="0.25">
      <c r="A106" t="s">
        <v>209</v>
      </c>
      <c r="B106" s="1">
        <v>46074</v>
      </c>
      <c r="C106" t="s">
        <v>77</v>
      </c>
      <c r="D106" t="s">
        <v>49</v>
      </c>
      <c r="E106">
        <v>1</v>
      </c>
      <c r="F106">
        <v>650</v>
      </c>
      <c r="G106" s="22">
        <v>0.18</v>
      </c>
      <c r="H106" t="s">
        <v>35</v>
      </c>
      <c r="I106" t="s">
        <v>20</v>
      </c>
      <c r="J106" t="s">
        <v>27</v>
      </c>
    </row>
    <row r="107" spans="1:10" x14ac:dyDescent="0.25">
      <c r="A107" t="s">
        <v>210</v>
      </c>
      <c r="B107" s="1">
        <v>46103</v>
      </c>
      <c r="C107" t="s">
        <v>211</v>
      </c>
      <c r="D107" t="s">
        <v>55</v>
      </c>
      <c r="E107">
        <v>6</v>
      </c>
      <c r="F107">
        <v>2800</v>
      </c>
      <c r="G107" s="22">
        <v>0.08</v>
      </c>
      <c r="H107" t="s">
        <v>13</v>
      </c>
      <c r="I107" t="s">
        <v>26</v>
      </c>
      <c r="J107" t="s">
        <v>31</v>
      </c>
    </row>
    <row r="108" spans="1:10" x14ac:dyDescent="0.25">
      <c r="A108" t="s">
        <v>212</v>
      </c>
      <c r="B108" s="1">
        <v>46106</v>
      </c>
      <c r="C108" t="s">
        <v>17</v>
      </c>
      <c r="D108" t="s">
        <v>34</v>
      </c>
      <c r="E108">
        <v>1</v>
      </c>
      <c r="F108">
        <v>9000</v>
      </c>
      <c r="G108" s="22">
        <v>0.1</v>
      </c>
      <c r="H108" t="s">
        <v>19</v>
      </c>
      <c r="I108" t="s">
        <v>26</v>
      </c>
      <c r="J108" t="s">
        <v>37</v>
      </c>
    </row>
    <row r="109" spans="1:10" x14ac:dyDescent="0.25">
      <c r="A109" t="s">
        <v>213</v>
      </c>
      <c r="B109" s="1">
        <v>46045</v>
      </c>
      <c r="C109" t="s">
        <v>214</v>
      </c>
      <c r="D109" t="s">
        <v>78</v>
      </c>
      <c r="E109">
        <v>1</v>
      </c>
      <c r="F109">
        <v>1200</v>
      </c>
      <c r="G109" s="22">
        <v>0.18</v>
      </c>
      <c r="H109" t="s">
        <v>35</v>
      </c>
      <c r="I109" t="s">
        <v>36</v>
      </c>
      <c r="J109" t="s">
        <v>50</v>
      </c>
    </row>
    <row r="110" spans="1:10" x14ac:dyDescent="0.25">
      <c r="A110" t="s">
        <v>215</v>
      </c>
      <c r="B110" s="1">
        <v>46026</v>
      </c>
      <c r="C110" t="s">
        <v>117</v>
      </c>
      <c r="D110" t="s">
        <v>138</v>
      </c>
      <c r="E110">
        <v>4</v>
      </c>
      <c r="F110">
        <v>3000</v>
      </c>
      <c r="G110" s="22">
        <v>0.1</v>
      </c>
      <c r="H110" t="s">
        <v>35</v>
      </c>
      <c r="I110" t="s">
        <v>20</v>
      </c>
      <c r="J110" t="s">
        <v>21</v>
      </c>
    </row>
    <row r="111" spans="1:10" x14ac:dyDescent="0.25">
      <c r="A111" t="s">
        <v>216</v>
      </c>
      <c r="B111" s="1">
        <v>46041</v>
      </c>
      <c r="C111" t="s">
        <v>54</v>
      </c>
      <c r="D111" t="s">
        <v>49</v>
      </c>
      <c r="E111">
        <v>6</v>
      </c>
      <c r="F111">
        <v>650</v>
      </c>
      <c r="G111" s="22">
        <v>0.08</v>
      </c>
      <c r="H111" t="s">
        <v>19</v>
      </c>
      <c r="I111" t="s">
        <v>20</v>
      </c>
      <c r="J111" t="s">
        <v>15</v>
      </c>
    </row>
    <row r="112" spans="1:10" x14ac:dyDescent="0.25">
      <c r="A112" t="s">
        <v>217</v>
      </c>
      <c r="B112" s="1">
        <v>46023</v>
      </c>
      <c r="C112" t="s">
        <v>211</v>
      </c>
      <c r="D112" t="s">
        <v>24</v>
      </c>
      <c r="E112">
        <v>2</v>
      </c>
      <c r="F112">
        <v>5500</v>
      </c>
      <c r="G112" s="22">
        <v>0.15</v>
      </c>
      <c r="H112" t="s">
        <v>218</v>
      </c>
      <c r="I112" t="s">
        <v>26</v>
      </c>
      <c r="J112" t="s">
        <v>50</v>
      </c>
    </row>
    <row r="113" spans="1:10" x14ac:dyDescent="0.25">
      <c r="A113" t="s">
        <v>219</v>
      </c>
      <c r="B113" s="1">
        <v>46112</v>
      </c>
      <c r="C113" t="s">
        <v>220</v>
      </c>
      <c r="D113" t="s">
        <v>78</v>
      </c>
      <c r="E113">
        <v>1</v>
      </c>
      <c r="F113">
        <v>1200</v>
      </c>
      <c r="G113" s="22">
        <v>0.15</v>
      </c>
      <c r="H113" t="s">
        <v>19</v>
      </c>
      <c r="I113" t="s">
        <v>26</v>
      </c>
      <c r="J113" t="s">
        <v>31</v>
      </c>
    </row>
    <row r="114" spans="1:10" x14ac:dyDescent="0.25">
      <c r="A114" t="s">
        <v>221</v>
      </c>
      <c r="B114" s="1">
        <v>46078</v>
      </c>
      <c r="C114" t="s">
        <v>153</v>
      </c>
      <c r="D114" t="s">
        <v>46</v>
      </c>
      <c r="E114">
        <v>5</v>
      </c>
      <c r="F114">
        <v>42000</v>
      </c>
      <c r="G114" s="22">
        <v>0.15</v>
      </c>
      <c r="H114" t="s">
        <v>19</v>
      </c>
      <c r="I114" t="s">
        <v>20</v>
      </c>
      <c r="J114" t="s">
        <v>37</v>
      </c>
    </row>
    <row r="115" spans="1:10" x14ac:dyDescent="0.25">
      <c r="A115" t="s">
        <v>222</v>
      </c>
      <c r="B115" s="1">
        <v>46023</v>
      </c>
      <c r="C115" t="s">
        <v>85</v>
      </c>
      <c r="D115" t="s">
        <v>107</v>
      </c>
      <c r="E115">
        <v>6</v>
      </c>
      <c r="F115">
        <v>1800</v>
      </c>
      <c r="G115" s="22">
        <v>0.1</v>
      </c>
      <c r="H115" t="s">
        <v>13</v>
      </c>
      <c r="I115" t="s">
        <v>14</v>
      </c>
      <c r="J115" t="s">
        <v>27</v>
      </c>
    </row>
    <row r="116" spans="1:10" x14ac:dyDescent="0.25">
      <c r="A116" t="s">
        <v>223</v>
      </c>
      <c r="B116" s="1">
        <v>46036</v>
      </c>
      <c r="C116" t="s">
        <v>42</v>
      </c>
      <c r="D116" t="s">
        <v>46</v>
      </c>
      <c r="E116">
        <v>4</v>
      </c>
      <c r="F116">
        <v>42000</v>
      </c>
      <c r="G116" s="22">
        <v>0.15</v>
      </c>
      <c r="H116" t="s">
        <v>13</v>
      </c>
      <c r="I116" t="s">
        <v>26</v>
      </c>
      <c r="J116" t="s">
        <v>15</v>
      </c>
    </row>
    <row r="117" spans="1:10" x14ac:dyDescent="0.25">
      <c r="A117" t="s">
        <v>224</v>
      </c>
      <c r="B117" s="1">
        <v>46081</v>
      </c>
      <c r="C117" t="s">
        <v>117</v>
      </c>
      <c r="D117" t="s">
        <v>74</v>
      </c>
      <c r="E117">
        <v>6</v>
      </c>
      <c r="F117">
        <v>5500</v>
      </c>
      <c r="G117" s="22">
        <v>0.15</v>
      </c>
      <c r="H117" t="s">
        <v>19</v>
      </c>
      <c r="I117" t="s">
        <v>36</v>
      </c>
      <c r="J117" t="s">
        <v>50</v>
      </c>
    </row>
    <row r="118" spans="1:10" x14ac:dyDescent="0.25">
      <c r="A118" t="s">
        <v>225</v>
      </c>
      <c r="B118" s="1">
        <v>46060</v>
      </c>
      <c r="C118" t="s">
        <v>63</v>
      </c>
      <c r="D118" t="s">
        <v>199</v>
      </c>
      <c r="E118">
        <v>1</v>
      </c>
      <c r="F118">
        <v>18000</v>
      </c>
      <c r="G118" s="22">
        <v>0.05</v>
      </c>
      <c r="H118" t="s">
        <v>19</v>
      </c>
      <c r="I118" t="s">
        <v>20</v>
      </c>
      <c r="J118" t="s">
        <v>31</v>
      </c>
    </row>
    <row r="119" spans="1:10" x14ac:dyDescent="0.25">
      <c r="A119" t="s">
        <v>226</v>
      </c>
      <c r="B119" s="1">
        <v>46096</v>
      </c>
      <c r="C119" t="s">
        <v>39</v>
      </c>
      <c r="D119" t="s">
        <v>55</v>
      </c>
      <c r="E119">
        <v>2</v>
      </c>
      <c r="F119">
        <v>2800</v>
      </c>
      <c r="G119" s="22">
        <v>0.1</v>
      </c>
      <c r="H119" t="s">
        <v>19</v>
      </c>
      <c r="I119" t="s">
        <v>36</v>
      </c>
      <c r="J119" t="s">
        <v>50</v>
      </c>
    </row>
    <row r="120" spans="1:10" x14ac:dyDescent="0.25">
      <c r="A120" t="s">
        <v>227</v>
      </c>
      <c r="B120" s="1">
        <v>46035</v>
      </c>
      <c r="C120" t="s">
        <v>98</v>
      </c>
      <c r="D120" t="s">
        <v>81</v>
      </c>
      <c r="E120">
        <v>5</v>
      </c>
      <c r="F120">
        <v>3200</v>
      </c>
      <c r="G120" s="22">
        <v>0</v>
      </c>
      <c r="H120" t="s">
        <v>35</v>
      </c>
      <c r="I120" t="s">
        <v>26</v>
      </c>
      <c r="J120" t="s">
        <v>21</v>
      </c>
    </row>
    <row r="121" spans="1:10" x14ac:dyDescent="0.25">
      <c r="A121" t="s">
        <v>228</v>
      </c>
      <c r="B121" s="1">
        <v>46108</v>
      </c>
      <c r="C121" t="s">
        <v>229</v>
      </c>
      <c r="D121" t="s">
        <v>230</v>
      </c>
      <c r="E121">
        <v>1</v>
      </c>
      <c r="F121">
        <v>8500</v>
      </c>
      <c r="G121" s="22">
        <v>0.18</v>
      </c>
      <c r="H121" t="s">
        <v>35</v>
      </c>
      <c r="I121" t="s">
        <v>20</v>
      </c>
      <c r="J121" t="s">
        <v>31</v>
      </c>
    </row>
    <row r="122" spans="1:10" x14ac:dyDescent="0.25">
      <c r="A122" t="s">
        <v>231</v>
      </c>
      <c r="B122" s="1">
        <v>46063</v>
      </c>
      <c r="C122" t="s">
        <v>232</v>
      </c>
      <c r="D122" t="s">
        <v>81</v>
      </c>
      <c r="E122">
        <v>1</v>
      </c>
      <c r="F122">
        <v>3200</v>
      </c>
      <c r="G122" s="22">
        <v>0.05</v>
      </c>
      <c r="H122" t="s">
        <v>19</v>
      </c>
      <c r="I122" t="s">
        <v>26</v>
      </c>
      <c r="J122" t="s">
        <v>15</v>
      </c>
    </row>
    <row r="123" spans="1:10" x14ac:dyDescent="0.25">
      <c r="A123" t="s">
        <v>233</v>
      </c>
      <c r="B123" s="1">
        <v>46055</v>
      </c>
      <c r="C123" t="s">
        <v>173</v>
      </c>
      <c r="D123" t="s">
        <v>58</v>
      </c>
      <c r="E123">
        <v>3</v>
      </c>
      <c r="F123">
        <v>2500</v>
      </c>
      <c r="G123" s="22">
        <v>0.12</v>
      </c>
      <c r="H123" t="s">
        <v>19</v>
      </c>
      <c r="I123" t="s">
        <v>26</v>
      </c>
      <c r="J123" t="s">
        <v>50</v>
      </c>
    </row>
    <row r="124" spans="1:10" x14ac:dyDescent="0.25">
      <c r="A124" t="s">
        <v>234</v>
      </c>
      <c r="B124" s="1">
        <v>46097</v>
      </c>
      <c r="C124" t="s">
        <v>153</v>
      </c>
      <c r="D124" t="s">
        <v>55</v>
      </c>
      <c r="E124">
        <v>2</v>
      </c>
      <c r="F124">
        <v>2800</v>
      </c>
      <c r="G124" s="22">
        <v>0.15</v>
      </c>
      <c r="H124" t="s">
        <v>19</v>
      </c>
      <c r="I124" t="s">
        <v>36</v>
      </c>
      <c r="J124" t="s">
        <v>31</v>
      </c>
    </row>
    <row r="125" spans="1:10" x14ac:dyDescent="0.25">
      <c r="A125" t="s">
        <v>235</v>
      </c>
      <c r="B125" s="1">
        <v>46053</v>
      </c>
      <c r="C125" t="s">
        <v>178</v>
      </c>
      <c r="D125" t="s">
        <v>55</v>
      </c>
      <c r="E125">
        <v>1</v>
      </c>
      <c r="F125">
        <v>2800</v>
      </c>
      <c r="G125" s="22">
        <v>0.08</v>
      </c>
      <c r="H125" t="s">
        <v>35</v>
      </c>
      <c r="I125" t="s">
        <v>20</v>
      </c>
      <c r="J125" t="s">
        <v>50</v>
      </c>
    </row>
    <row r="126" spans="1:10" x14ac:dyDescent="0.25">
      <c r="A126" t="s">
        <v>236</v>
      </c>
      <c r="B126" s="1">
        <v>46097</v>
      </c>
      <c r="C126" t="s">
        <v>237</v>
      </c>
      <c r="D126" t="s">
        <v>78</v>
      </c>
      <c r="E126">
        <v>2</v>
      </c>
      <c r="F126">
        <v>1200</v>
      </c>
      <c r="G126" s="22">
        <v>0.1</v>
      </c>
      <c r="H126" t="s">
        <v>19</v>
      </c>
      <c r="I126" t="s">
        <v>26</v>
      </c>
      <c r="J126" t="s">
        <v>31</v>
      </c>
    </row>
    <row r="127" spans="1:10" x14ac:dyDescent="0.25">
      <c r="A127" t="s">
        <v>238</v>
      </c>
      <c r="B127" s="1">
        <v>46084</v>
      </c>
      <c r="C127" t="s">
        <v>77</v>
      </c>
      <c r="D127" t="s">
        <v>58</v>
      </c>
      <c r="E127">
        <v>3</v>
      </c>
      <c r="F127">
        <v>2500</v>
      </c>
      <c r="G127" s="22">
        <v>0.08</v>
      </c>
      <c r="H127" t="s">
        <v>35</v>
      </c>
      <c r="I127" t="s">
        <v>36</v>
      </c>
      <c r="J127" t="s">
        <v>15</v>
      </c>
    </row>
    <row r="128" spans="1:10" x14ac:dyDescent="0.25">
      <c r="A128" t="s">
        <v>239</v>
      </c>
      <c r="B128" s="1">
        <v>46048</v>
      </c>
      <c r="C128" t="s">
        <v>121</v>
      </c>
      <c r="D128" t="s">
        <v>18</v>
      </c>
      <c r="E128">
        <v>2</v>
      </c>
      <c r="F128">
        <v>12500</v>
      </c>
      <c r="G128" s="22">
        <v>0.15</v>
      </c>
      <c r="H128" t="s">
        <v>240</v>
      </c>
      <c r="I128" t="s">
        <v>20</v>
      </c>
      <c r="J128" t="s">
        <v>31</v>
      </c>
    </row>
    <row r="129" spans="1:10" x14ac:dyDescent="0.25">
      <c r="A129" t="s">
        <v>241</v>
      </c>
      <c r="B129" s="1">
        <v>46069</v>
      </c>
      <c r="C129" t="s">
        <v>159</v>
      </c>
      <c r="D129" t="s">
        <v>88</v>
      </c>
      <c r="E129">
        <v>1</v>
      </c>
      <c r="F129">
        <v>2200</v>
      </c>
      <c r="G129" s="22">
        <v>0.1</v>
      </c>
      <c r="H129" t="s">
        <v>35</v>
      </c>
      <c r="I129" t="s">
        <v>20</v>
      </c>
      <c r="J129" t="s">
        <v>50</v>
      </c>
    </row>
    <row r="130" spans="1:10" x14ac:dyDescent="0.25">
      <c r="A130" t="s">
        <v>242</v>
      </c>
      <c r="B130" s="1">
        <v>46025</v>
      </c>
      <c r="C130" t="s">
        <v>124</v>
      </c>
      <c r="D130" t="s">
        <v>146</v>
      </c>
      <c r="E130">
        <v>2</v>
      </c>
      <c r="F130">
        <v>3500</v>
      </c>
      <c r="G130" s="22">
        <v>0.12</v>
      </c>
      <c r="H130" t="s">
        <v>19</v>
      </c>
      <c r="I130" t="s">
        <v>20</v>
      </c>
      <c r="J130" t="s">
        <v>15</v>
      </c>
    </row>
    <row r="131" spans="1:10" x14ac:dyDescent="0.25">
      <c r="A131" t="s">
        <v>243</v>
      </c>
      <c r="B131" s="1">
        <v>46066</v>
      </c>
      <c r="C131" t="s">
        <v>244</v>
      </c>
      <c r="D131" t="s">
        <v>146</v>
      </c>
      <c r="E131">
        <v>3</v>
      </c>
      <c r="F131">
        <v>3500</v>
      </c>
      <c r="G131" s="22">
        <v>0.05</v>
      </c>
      <c r="H131" t="s">
        <v>19</v>
      </c>
      <c r="I131" t="s">
        <v>26</v>
      </c>
      <c r="J131" t="s">
        <v>27</v>
      </c>
    </row>
    <row r="132" spans="1:10" x14ac:dyDescent="0.25">
      <c r="A132" t="s">
        <v>245</v>
      </c>
      <c r="B132" s="1">
        <v>46039</v>
      </c>
      <c r="C132" t="s">
        <v>171</v>
      </c>
      <c r="D132" t="s">
        <v>60</v>
      </c>
      <c r="E132">
        <v>2</v>
      </c>
      <c r="F132">
        <v>45000</v>
      </c>
      <c r="G132" s="22">
        <v>0</v>
      </c>
      <c r="H132" t="s">
        <v>35</v>
      </c>
      <c r="I132" t="s">
        <v>20</v>
      </c>
      <c r="J132" t="s">
        <v>50</v>
      </c>
    </row>
    <row r="133" spans="1:10" x14ac:dyDescent="0.25">
      <c r="A133" t="s">
        <v>246</v>
      </c>
      <c r="B133" s="1">
        <v>46071</v>
      </c>
      <c r="C133" t="s">
        <v>211</v>
      </c>
      <c r="D133" t="s">
        <v>55</v>
      </c>
      <c r="E133">
        <v>1</v>
      </c>
      <c r="F133">
        <v>2800</v>
      </c>
      <c r="G133" s="22">
        <v>0.15</v>
      </c>
      <c r="H133" t="s">
        <v>13</v>
      </c>
      <c r="I133" t="s">
        <v>20</v>
      </c>
      <c r="J133" t="s">
        <v>15</v>
      </c>
    </row>
    <row r="134" spans="1:10" x14ac:dyDescent="0.25">
      <c r="A134" t="s">
        <v>247</v>
      </c>
      <c r="B134" s="1">
        <v>46097</v>
      </c>
      <c r="C134" t="s">
        <v>171</v>
      </c>
      <c r="D134" t="s">
        <v>43</v>
      </c>
      <c r="E134">
        <v>2</v>
      </c>
      <c r="F134">
        <v>2500</v>
      </c>
      <c r="G134" s="22">
        <v>0.2</v>
      </c>
      <c r="H134" t="s">
        <v>19</v>
      </c>
      <c r="I134" t="s">
        <v>36</v>
      </c>
      <c r="J134" t="s">
        <v>21</v>
      </c>
    </row>
    <row r="135" spans="1:10" x14ac:dyDescent="0.25">
      <c r="A135" t="s">
        <v>248</v>
      </c>
      <c r="B135" s="1">
        <v>46044</v>
      </c>
      <c r="C135" t="s">
        <v>57</v>
      </c>
      <c r="D135" t="s">
        <v>60</v>
      </c>
      <c r="E135">
        <v>4</v>
      </c>
      <c r="F135">
        <v>45000</v>
      </c>
      <c r="G135" s="22">
        <v>0.2</v>
      </c>
      <c r="H135" t="s">
        <v>25</v>
      </c>
      <c r="I135" t="s">
        <v>20</v>
      </c>
      <c r="J135" t="s">
        <v>21</v>
      </c>
    </row>
    <row r="136" spans="1:10" x14ac:dyDescent="0.25">
      <c r="A136" t="s">
        <v>249</v>
      </c>
      <c r="B136" s="1">
        <v>46082</v>
      </c>
      <c r="C136" t="s">
        <v>153</v>
      </c>
      <c r="D136" t="s">
        <v>99</v>
      </c>
      <c r="E136">
        <v>2</v>
      </c>
      <c r="F136">
        <v>8500</v>
      </c>
      <c r="G136" s="22">
        <v>0.15</v>
      </c>
      <c r="H136" t="s">
        <v>13</v>
      </c>
      <c r="I136" t="s">
        <v>14</v>
      </c>
    </row>
    <row r="137" spans="1:10" x14ac:dyDescent="0.25">
      <c r="A137" t="s">
        <v>250</v>
      </c>
      <c r="B137" s="1">
        <v>46026</v>
      </c>
      <c r="C137" t="s">
        <v>102</v>
      </c>
      <c r="D137" t="s">
        <v>18</v>
      </c>
      <c r="E137">
        <v>6</v>
      </c>
      <c r="F137">
        <v>12500</v>
      </c>
      <c r="G137" s="22">
        <v>0.15</v>
      </c>
      <c r="H137" t="s">
        <v>25</v>
      </c>
      <c r="I137" t="s">
        <v>14</v>
      </c>
      <c r="J137" t="s">
        <v>15</v>
      </c>
    </row>
    <row r="138" spans="1:10" x14ac:dyDescent="0.25">
      <c r="A138" t="s">
        <v>251</v>
      </c>
      <c r="B138" s="1">
        <v>46036</v>
      </c>
      <c r="C138" t="s">
        <v>73</v>
      </c>
      <c r="D138" t="s">
        <v>103</v>
      </c>
      <c r="E138">
        <v>4</v>
      </c>
      <c r="F138">
        <v>7000</v>
      </c>
      <c r="G138" s="22">
        <v>0.18</v>
      </c>
      <c r="H138" t="s">
        <v>35</v>
      </c>
      <c r="I138" t="s">
        <v>26</v>
      </c>
      <c r="J138" t="s">
        <v>31</v>
      </c>
    </row>
    <row r="139" spans="1:10" x14ac:dyDescent="0.25">
      <c r="A139" t="s">
        <v>252</v>
      </c>
      <c r="B139" s="1">
        <v>46039</v>
      </c>
      <c r="C139" t="s">
        <v>124</v>
      </c>
      <c r="D139" t="s">
        <v>55</v>
      </c>
      <c r="E139">
        <v>1</v>
      </c>
      <c r="F139">
        <v>2800</v>
      </c>
      <c r="G139" s="22">
        <v>0</v>
      </c>
      <c r="H139" t="s">
        <v>19</v>
      </c>
      <c r="I139" t="s">
        <v>26</v>
      </c>
      <c r="J139" t="s">
        <v>50</v>
      </c>
    </row>
    <row r="140" spans="1:10" x14ac:dyDescent="0.25">
      <c r="A140" t="s">
        <v>253</v>
      </c>
      <c r="B140" s="1">
        <v>46073</v>
      </c>
      <c r="C140" t="s">
        <v>39</v>
      </c>
      <c r="D140" t="s">
        <v>30</v>
      </c>
      <c r="E140">
        <v>4</v>
      </c>
      <c r="F140">
        <v>30000</v>
      </c>
      <c r="G140" s="22">
        <v>0.2</v>
      </c>
      <c r="H140" t="s">
        <v>19</v>
      </c>
      <c r="I140" t="s">
        <v>26</v>
      </c>
      <c r="J140" t="s">
        <v>21</v>
      </c>
    </row>
    <row r="141" spans="1:10" x14ac:dyDescent="0.25">
      <c r="A141" t="s">
        <v>254</v>
      </c>
      <c r="B141" s="1">
        <v>46064</v>
      </c>
      <c r="C141" t="s">
        <v>33</v>
      </c>
      <c r="D141" t="s">
        <v>12</v>
      </c>
      <c r="E141">
        <v>1</v>
      </c>
      <c r="F141">
        <v>2200</v>
      </c>
      <c r="G141" s="22">
        <v>0.2</v>
      </c>
      <c r="H141" t="s">
        <v>13</v>
      </c>
      <c r="I141" t="s">
        <v>14</v>
      </c>
      <c r="J141" t="s">
        <v>31</v>
      </c>
    </row>
    <row r="142" spans="1:10" x14ac:dyDescent="0.25">
      <c r="A142" t="s">
        <v>255</v>
      </c>
      <c r="B142" s="1">
        <v>46058</v>
      </c>
      <c r="C142" t="s">
        <v>113</v>
      </c>
      <c r="D142" t="s">
        <v>88</v>
      </c>
      <c r="E142">
        <v>3</v>
      </c>
      <c r="F142">
        <v>2200</v>
      </c>
      <c r="G142" s="22">
        <v>0.08</v>
      </c>
      <c r="H142" t="s">
        <v>19</v>
      </c>
      <c r="I142" t="s">
        <v>14</v>
      </c>
      <c r="J142" t="s">
        <v>37</v>
      </c>
    </row>
    <row r="143" spans="1:10" x14ac:dyDescent="0.25">
      <c r="A143" t="s">
        <v>256</v>
      </c>
      <c r="B143" s="1">
        <v>46090</v>
      </c>
      <c r="C143" t="s">
        <v>29</v>
      </c>
      <c r="D143" t="s">
        <v>146</v>
      </c>
      <c r="E143">
        <v>3</v>
      </c>
      <c r="F143">
        <v>3500</v>
      </c>
      <c r="G143" s="22">
        <v>0</v>
      </c>
      <c r="H143" t="s">
        <v>35</v>
      </c>
      <c r="I143" t="s">
        <v>14</v>
      </c>
      <c r="J143" t="s">
        <v>21</v>
      </c>
    </row>
    <row r="144" spans="1:10" x14ac:dyDescent="0.25">
      <c r="A144" t="s">
        <v>257</v>
      </c>
      <c r="B144" s="1">
        <v>46060</v>
      </c>
      <c r="C144" t="s">
        <v>195</v>
      </c>
      <c r="D144" t="s">
        <v>34</v>
      </c>
      <c r="E144">
        <v>1</v>
      </c>
      <c r="F144">
        <v>9000</v>
      </c>
      <c r="G144" s="22">
        <v>0.15</v>
      </c>
      <c r="H144" t="s">
        <v>19</v>
      </c>
      <c r="I144" t="s">
        <v>20</v>
      </c>
      <c r="J144" t="s">
        <v>37</v>
      </c>
    </row>
    <row r="145" spans="1:10" x14ac:dyDescent="0.25">
      <c r="A145" t="s">
        <v>258</v>
      </c>
      <c r="B145" s="1">
        <v>46037</v>
      </c>
      <c r="C145" t="s">
        <v>113</v>
      </c>
      <c r="D145" t="s">
        <v>58</v>
      </c>
      <c r="E145">
        <v>2</v>
      </c>
      <c r="F145">
        <v>2500</v>
      </c>
      <c r="G145" s="22">
        <v>0.2</v>
      </c>
      <c r="H145" t="s">
        <v>35</v>
      </c>
      <c r="I145" t="s">
        <v>14</v>
      </c>
      <c r="J145" t="s">
        <v>27</v>
      </c>
    </row>
    <row r="146" spans="1:10" x14ac:dyDescent="0.25">
      <c r="A146" t="s">
        <v>259</v>
      </c>
      <c r="B146" s="1">
        <v>46058</v>
      </c>
      <c r="C146" t="s">
        <v>260</v>
      </c>
      <c r="D146" t="s">
        <v>261</v>
      </c>
      <c r="E146">
        <v>1</v>
      </c>
      <c r="F146">
        <v>3200</v>
      </c>
      <c r="G146" s="22">
        <v>0.08</v>
      </c>
      <c r="H146" t="s">
        <v>35</v>
      </c>
      <c r="I146" t="s">
        <v>36</v>
      </c>
      <c r="J146" t="s">
        <v>37</v>
      </c>
    </row>
    <row r="147" spans="1:10" x14ac:dyDescent="0.25">
      <c r="A147" t="s">
        <v>262</v>
      </c>
      <c r="B147" s="1">
        <v>46060</v>
      </c>
      <c r="C147" t="s">
        <v>48</v>
      </c>
      <c r="D147" t="s">
        <v>88</v>
      </c>
      <c r="E147">
        <v>6</v>
      </c>
      <c r="F147">
        <v>2200</v>
      </c>
      <c r="G147" s="22">
        <v>0.2</v>
      </c>
      <c r="H147" t="s">
        <v>35</v>
      </c>
      <c r="I147" t="s">
        <v>36</v>
      </c>
      <c r="J147" t="s">
        <v>15</v>
      </c>
    </row>
    <row r="148" spans="1:10" x14ac:dyDescent="0.25">
      <c r="A148" t="s">
        <v>263</v>
      </c>
      <c r="B148" s="1">
        <v>46084</v>
      </c>
      <c r="C148" t="s">
        <v>264</v>
      </c>
      <c r="D148" t="s">
        <v>43</v>
      </c>
      <c r="E148">
        <v>6</v>
      </c>
      <c r="F148">
        <v>2500</v>
      </c>
      <c r="G148" s="22">
        <v>0.12</v>
      </c>
      <c r="H148" t="s">
        <v>35</v>
      </c>
      <c r="I148" t="s">
        <v>36</v>
      </c>
      <c r="J148" t="s">
        <v>27</v>
      </c>
    </row>
    <row r="149" spans="1:10" x14ac:dyDescent="0.25">
      <c r="A149" t="s">
        <v>265</v>
      </c>
      <c r="B149" s="1">
        <v>46090</v>
      </c>
      <c r="C149" t="s">
        <v>211</v>
      </c>
      <c r="D149" t="s">
        <v>199</v>
      </c>
      <c r="E149">
        <v>2</v>
      </c>
      <c r="F149">
        <v>18000</v>
      </c>
      <c r="G149" s="22">
        <v>0.2</v>
      </c>
      <c r="H149" t="s">
        <v>25</v>
      </c>
      <c r="I149" t="s">
        <v>20</v>
      </c>
      <c r="J149" t="s">
        <v>15</v>
      </c>
    </row>
    <row r="150" spans="1:10" x14ac:dyDescent="0.25">
      <c r="A150" t="s">
        <v>266</v>
      </c>
      <c r="B150" s="1">
        <v>46073</v>
      </c>
      <c r="C150" t="s">
        <v>113</v>
      </c>
      <c r="D150" t="s">
        <v>107</v>
      </c>
      <c r="E150">
        <v>6</v>
      </c>
      <c r="F150">
        <v>1800</v>
      </c>
      <c r="G150" s="22">
        <v>0</v>
      </c>
      <c r="H150" t="s">
        <v>19</v>
      </c>
      <c r="I150" t="s">
        <v>14</v>
      </c>
      <c r="J150" t="s">
        <v>50</v>
      </c>
    </row>
    <row r="151" spans="1:10" x14ac:dyDescent="0.25">
      <c r="A151" t="s">
        <v>267</v>
      </c>
      <c r="B151" s="1">
        <v>46068</v>
      </c>
      <c r="C151" t="s">
        <v>232</v>
      </c>
      <c r="D151" t="s">
        <v>199</v>
      </c>
      <c r="E151">
        <v>3</v>
      </c>
      <c r="F151">
        <v>18000</v>
      </c>
      <c r="G151" s="22">
        <v>0</v>
      </c>
      <c r="H151" t="s">
        <v>25</v>
      </c>
      <c r="I151" t="s">
        <v>26</v>
      </c>
      <c r="J151" t="s">
        <v>27</v>
      </c>
    </row>
  </sheetData>
  <dataValidations count="3">
    <dataValidation type="list" allowBlank="1" showInputMessage="1" showErrorMessage="1" sqref="L9" xr:uid="{8FE5C9B4-B7DD-44D5-97EB-FEE8D5BC6A94}">
      <formula1>$R$2:$R$5</formula1>
    </dataValidation>
    <dataValidation type="list" allowBlank="1" showInputMessage="1" showErrorMessage="1" sqref="L12" xr:uid="{42C2A5ED-BC2A-4EEE-9381-EF2014EBB9B3}">
      <formula1>$S$2:$S$6</formula1>
    </dataValidation>
    <dataValidation type="list" allowBlank="1" showInputMessage="1" showErrorMessage="1" sqref="L23" xr:uid="{81BE87FE-60A8-433C-A5FF-29312413D7F6}">
      <formula1>$T$5:$T$9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9" customWidth="1"/>
    <col min="3" max="3" width="18" customWidth="1"/>
    <col min="4" max="5" width="12" customWidth="1"/>
    <col min="6" max="6" width="16" customWidth="1"/>
  </cols>
  <sheetData>
    <row r="1" spans="1:6" x14ac:dyDescent="0.25">
      <c r="A1" s="2" t="s">
        <v>3</v>
      </c>
      <c r="B1" s="2" t="s">
        <v>268</v>
      </c>
      <c r="C1" s="2" t="s">
        <v>269</v>
      </c>
      <c r="D1" s="2" t="s">
        <v>270</v>
      </c>
      <c r="E1" s="2" t="s">
        <v>271</v>
      </c>
      <c r="F1" s="2" t="s">
        <v>272</v>
      </c>
    </row>
    <row r="2" spans="1:6" x14ac:dyDescent="0.25">
      <c r="A2" t="s">
        <v>60</v>
      </c>
      <c r="B2" t="s">
        <v>273</v>
      </c>
      <c r="C2" t="s">
        <v>274</v>
      </c>
      <c r="D2" t="s">
        <v>275</v>
      </c>
      <c r="E2" t="s">
        <v>276</v>
      </c>
      <c r="F2">
        <v>4.5</v>
      </c>
    </row>
    <row r="3" spans="1:6" x14ac:dyDescent="0.25">
      <c r="A3" t="s">
        <v>78</v>
      </c>
      <c r="B3" t="s">
        <v>277</v>
      </c>
      <c r="C3" t="s">
        <v>278</v>
      </c>
      <c r="D3" t="s">
        <v>279</v>
      </c>
      <c r="E3" t="s">
        <v>280</v>
      </c>
      <c r="F3">
        <v>4.2</v>
      </c>
    </row>
    <row r="4" spans="1:6" x14ac:dyDescent="0.25">
      <c r="A4" t="s">
        <v>69</v>
      </c>
      <c r="B4" t="s">
        <v>281</v>
      </c>
      <c r="C4" t="s">
        <v>274</v>
      </c>
      <c r="D4" t="s">
        <v>282</v>
      </c>
      <c r="E4" t="s">
        <v>276</v>
      </c>
      <c r="F4">
        <v>4.5999999999999996</v>
      </c>
    </row>
    <row r="5" spans="1:6" x14ac:dyDescent="0.25">
      <c r="A5" t="s">
        <v>126</v>
      </c>
      <c r="B5" t="s">
        <v>283</v>
      </c>
      <c r="C5" t="s">
        <v>274</v>
      </c>
      <c r="D5" t="s">
        <v>284</v>
      </c>
      <c r="E5" t="s">
        <v>285</v>
      </c>
      <c r="F5">
        <v>4.0999999999999996</v>
      </c>
    </row>
    <row r="6" spans="1:6" x14ac:dyDescent="0.25">
      <c r="A6" t="s">
        <v>146</v>
      </c>
      <c r="B6" t="s">
        <v>286</v>
      </c>
      <c r="C6" t="s">
        <v>278</v>
      </c>
      <c r="D6" t="s">
        <v>287</v>
      </c>
      <c r="E6" t="s">
        <v>280</v>
      </c>
      <c r="F6">
        <v>4.4000000000000004</v>
      </c>
    </row>
    <row r="7" spans="1:6" x14ac:dyDescent="0.25">
      <c r="A7" t="s">
        <v>94</v>
      </c>
      <c r="B7" t="s">
        <v>288</v>
      </c>
      <c r="C7" t="s">
        <v>289</v>
      </c>
      <c r="D7" t="s">
        <v>290</v>
      </c>
      <c r="E7" t="s">
        <v>291</v>
      </c>
      <c r="F7">
        <v>3.9</v>
      </c>
    </row>
    <row r="8" spans="1:6" x14ac:dyDescent="0.25">
      <c r="A8" t="s">
        <v>12</v>
      </c>
      <c r="B8" t="s">
        <v>292</v>
      </c>
      <c r="C8" t="s">
        <v>278</v>
      </c>
      <c r="D8" t="s">
        <v>293</v>
      </c>
      <c r="E8" t="s">
        <v>285</v>
      </c>
      <c r="F8">
        <v>4.3</v>
      </c>
    </row>
    <row r="9" spans="1:6" x14ac:dyDescent="0.25">
      <c r="A9" t="s">
        <v>103</v>
      </c>
      <c r="B9" t="s">
        <v>294</v>
      </c>
      <c r="C9" t="s">
        <v>295</v>
      </c>
      <c r="D9" t="s">
        <v>296</v>
      </c>
      <c r="E9" t="s">
        <v>276</v>
      </c>
      <c r="F9">
        <v>4</v>
      </c>
    </row>
    <row r="10" spans="1:6" x14ac:dyDescent="0.25">
      <c r="A10" t="s">
        <v>99</v>
      </c>
      <c r="B10" t="s">
        <v>297</v>
      </c>
      <c r="C10" t="s">
        <v>289</v>
      </c>
      <c r="D10" t="s">
        <v>290</v>
      </c>
      <c r="E10" t="s">
        <v>291</v>
      </c>
      <c r="F10">
        <v>4.7</v>
      </c>
    </row>
    <row r="11" spans="1:6" x14ac:dyDescent="0.25">
      <c r="A11" t="s">
        <v>34</v>
      </c>
      <c r="B11" t="s">
        <v>298</v>
      </c>
      <c r="C11" t="s">
        <v>299</v>
      </c>
      <c r="D11" t="s">
        <v>300</v>
      </c>
      <c r="E11" t="s">
        <v>285</v>
      </c>
      <c r="F11">
        <v>4.5</v>
      </c>
    </row>
    <row r="12" spans="1:6" x14ac:dyDescent="0.25">
      <c r="A12" t="s">
        <v>199</v>
      </c>
      <c r="B12" t="s">
        <v>301</v>
      </c>
      <c r="C12" t="s">
        <v>274</v>
      </c>
      <c r="D12" t="s">
        <v>302</v>
      </c>
      <c r="E12" t="s">
        <v>280</v>
      </c>
      <c r="F12">
        <v>4.2</v>
      </c>
    </row>
    <row r="13" spans="1:6" x14ac:dyDescent="0.25">
      <c r="A13" t="s">
        <v>81</v>
      </c>
      <c r="B13" t="s">
        <v>303</v>
      </c>
      <c r="C13" t="s">
        <v>278</v>
      </c>
      <c r="D13" t="s">
        <v>304</v>
      </c>
      <c r="E13" t="s">
        <v>276</v>
      </c>
      <c r="F13">
        <v>3.8</v>
      </c>
    </row>
    <row r="14" spans="1:6" x14ac:dyDescent="0.25">
      <c r="A14" t="s">
        <v>74</v>
      </c>
      <c r="B14" t="s">
        <v>305</v>
      </c>
      <c r="C14" t="s">
        <v>289</v>
      </c>
      <c r="D14" t="s">
        <v>290</v>
      </c>
      <c r="E14" t="s">
        <v>291</v>
      </c>
      <c r="F14">
        <v>4.4000000000000004</v>
      </c>
    </row>
    <row r="15" spans="1:6" x14ac:dyDescent="0.25">
      <c r="A15" t="s">
        <v>43</v>
      </c>
      <c r="B15" t="s">
        <v>306</v>
      </c>
      <c r="C15" t="s">
        <v>278</v>
      </c>
      <c r="D15" t="s">
        <v>307</v>
      </c>
      <c r="E15" t="s">
        <v>285</v>
      </c>
      <c r="F15">
        <v>4.0999999999999996</v>
      </c>
    </row>
    <row r="16" spans="1:6" x14ac:dyDescent="0.25">
      <c r="A16" t="s">
        <v>46</v>
      </c>
      <c r="B16" t="s">
        <v>308</v>
      </c>
      <c r="C16" t="s">
        <v>274</v>
      </c>
      <c r="D16" t="s">
        <v>302</v>
      </c>
      <c r="E16" t="s">
        <v>276</v>
      </c>
      <c r="F16">
        <v>4.5999999999999996</v>
      </c>
    </row>
    <row r="17" spans="1:6" x14ac:dyDescent="0.25">
      <c r="A17" t="s">
        <v>138</v>
      </c>
      <c r="B17" t="s">
        <v>309</v>
      </c>
      <c r="C17" t="s">
        <v>295</v>
      </c>
      <c r="D17" t="s">
        <v>296</v>
      </c>
      <c r="E17" t="s">
        <v>280</v>
      </c>
      <c r="F17">
        <v>3.7</v>
      </c>
    </row>
    <row r="18" spans="1:6" x14ac:dyDescent="0.25">
      <c r="A18" t="s">
        <v>107</v>
      </c>
      <c r="B18" t="s">
        <v>310</v>
      </c>
      <c r="C18" t="s">
        <v>278</v>
      </c>
      <c r="D18" t="s">
        <v>311</v>
      </c>
      <c r="E18" t="s">
        <v>285</v>
      </c>
      <c r="F18">
        <v>4</v>
      </c>
    </row>
    <row r="19" spans="1:6" x14ac:dyDescent="0.25">
      <c r="A19" t="s">
        <v>49</v>
      </c>
      <c r="B19" t="s">
        <v>312</v>
      </c>
      <c r="C19" t="s">
        <v>313</v>
      </c>
      <c r="D19" t="s">
        <v>314</v>
      </c>
      <c r="E19" t="s">
        <v>291</v>
      </c>
      <c r="F19">
        <v>4.3</v>
      </c>
    </row>
    <row r="20" spans="1:6" x14ac:dyDescent="0.25">
      <c r="A20" t="s">
        <v>18</v>
      </c>
      <c r="B20" t="s">
        <v>315</v>
      </c>
      <c r="C20" t="s">
        <v>316</v>
      </c>
      <c r="D20" t="s">
        <v>317</v>
      </c>
      <c r="E20" t="s">
        <v>276</v>
      </c>
      <c r="F20">
        <v>4.2</v>
      </c>
    </row>
    <row r="21" spans="1:6" x14ac:dyDescent="0.25">
      <c r="A21" t="s">
        <v>88</v>
      </c>
      <c r="B21" t="s">
        <v>318</v>
      </c>
      <c r="C21" t="s">
        <v>316</v>
      </c>
      <c r="D21" t="s">
        <v>319</v>
      </c>
      <c r="E21" t="s">
        <v>280</v>
      </c>
      <c r="F21">
        <v>3.9</v>
      </c>
    </row>
    <row r="22" spans="1:6" x14ac:dyDescent="0.25">
      <c r="A22" t="s">
        <v>30</v>
      </c>
      <c r="B22" t="s">
        <v>320</v>
      </c>
      <c r="C22" t="s">
        <v>274</v>
      </c>
      <c r="D22" t="s">
        <v>302</v>
      </c>
      <c r="E22" t="s">
        <v>285</v>
      </c>
      <c r="F22">
        <v>4.0999999999999996</v>
      </c>
    </row>
    <row r="23" spans="1:6" x14ac:dyDescent="0.25">
      <c r="A23" t="s">
        <v>24</v>
      </c>
      <c r="B23" t="s">
        <v>321</v>
      </c>
      <c r="C23" t="s">
        <v>322</v>
      </c>
      <c r="D23" t="s">
        <v>323</v>
      </c>
      <c r="E23" t="s">
        <v>276</v>
      </c>
      <c r="F23">
        <v>4.5</v>
      </c>
    </row>
    <row r="24" spans="1:6" x14ac:dyDescent="0.25">
      <c r="A24" t="s">
        <v>55</v>
      </c>
      <c r="B24" t="s">
        <v>324</v>
      </c>
      <c r="C24" t="s">
        <v>322</v>
      </c>
      <c r="D24" t="s">
        <v>323</v>
      </c>
      <c r="E24" t="s">
        <v>280</v>
      </c>
      <c r="F24">
        <v>4</v>
      </c>
    </row>
    <row r="25" spans="1:6" x14ac:dyDescent="0.25">
      <c r="A25" t="s">
        <v>58</v>
      </c>
      <c r="B25" t="s">
        <v>325</v>
      </c>
      <c r="C25" t="s">
        <v>278</v>
      </c>
      <c r="D25" t="s">
        <v>287</v>
      </c>
      <c r="E25" t="s">
        <v>285</v>
      </c>
      <c r="F25">
        <v>3.8</v>
      </c>
    </row>
    <row r="26" spans="1:6" x14ac:dyDescent="0.25">
      <c r="A26" t="s">
        <v>83</v>
      </c>
      <c r="B26" t="s">
        <v>326</v>
      </c>
      <c r="C26" t="s">
        <v>327</v>
      </c>
      <c r="D26" t="s">
        <v>328</v>
      </c>
      <c r="E26" t="s">
        <v>276</v>
      </c>
      <c r="F26">
        <v>4.2</v>
      </c>
    </row>
  </sheetData>
  <autoFilter ref="A1:F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F310-0C26-46C8-83F3-2081A2503705}">
  <dimension ref="A1:F26"/>
  <sheetViews>
    <sheetView workbookViewId="0">
      <selection activeCell="H12" sqref="H12"/>
    </sheetView>
  </sheetViews>
  <sheetFormatPr defaultRowHeight="15" x14ac:dyDescent="0.25"/>
  <cols>
    <col min="1" max="1" width="12.42578125" customWidth="1"/>
    <col min="2" max="2" width="15.7109375" customWidth="1"/>
    <col min="3" max="3" width="14.28515625" customWidth="1"/>
    <col min="4" max="4" width="16.140625" customWidth="1"/>
    <col min="5" max="5" width="13.140625" customWidth="1"/>
    <col min="6" max="6" width="12.140625" customWidth="1"/>
  </cols>
  <sheetData>
    <row r="1" spans="1:6" x14ac:dyDescent="0.25">
      <c r="A1" s="5" t="s">
        <v>3</v>
      </c>
      <c r="B1" s="5" t="s">
        <v>268</v>
      </c>
      <c r="C1" s="5" t="s">
        <v>269</v>
      </c>
      <c r="D1" s="5" t="s">
        <v>270</v>
      </c>
      <c r="E1" s="5" t="s">
        <v>271</v>
      </c>
      <c r="F1" s="5" t="s">
        <v>272</v>
      </c>
    </row>
    <row r="2" spans="1:6" x14ac:dyDescent="0.25">
      <c r="A2" s="4" t="s">
        <v>60</v>
      </c>
      <c r="B2" s="4" t="s">
        <v>273</v>
      </c>
      <c r="C2" s="4" t="s">
        <v>274</v>
      </c>
      <c r="D2" s="4" t="s">
        <v>275</v>
      </c>
      <c r="E2" s="4" t="s">
        <v>276</v>
      </c>
      <c r="F2" s="4">
        <v>4.5</v>
      </c>
    </row>
    <row r="3" spans="1:6" x14ac:dyDescent="0.25">
      <c r="A3" s="4" t="s">
        <v>78</v>
      </c>
      <c r="B3" s="4" t="s">
        <v>277</v>
      </c>
      <c r="C3" s="4" t="s">
        <v>278</v>
      </c>
      <c r="D3" s="4" t="s">
        <v>279</v>
      </c>
      <c r="E3" s="4" t="s">
        <v>280</v>
      </c>
      <c r="F3" s="4">
        <v>4.2</v>
      </c>
    </row>
    <row r="4" spans="1:6" x14ac:dyDescent="0.25">
      <c r="A4" s="4" t="s">
        <v>69</v>
      </c>
      <c r="B4" s="4" t="s">
        <v>281</v>
      </c>
      <c r="C4" s="4" t="s">
        <v>274</v>
      </c>
      <c r="D4" s="4" t="s">
        <v>282</v>
      </c>
      <c r="E4" s="4" t="s">
        <v>276</v>
      </c>
      <c r="F4" s="4">
        <v>4.5999999999999996</v>
      </c>
    </row>
    <row r="5" spans="1:6" x14ac:dyDescent="0.25">
      <c r="A5" s="4" t="s">
        <v>126</v>
      </c>
      <c r="B5" s="4" t="s">
        <v>283</v>
      </c>
      <c r="C5" s="4" t="s">
        <v>274</v>
      </c>
      <c r="D5" s="4" t="s">
        <v>284</v>
      </c>
      <c r="E5" s="4" t="s">
        <v>285</v>
      </c>
      <c r="F5" s="4">
        <v>4.0999999999999996</v>
      </c>
    </row>
    <row r="6" spans="1:6" x14ac:dyDescent="0.25">
      <c r="A6" s="4" t="s">
        <v>146</v>
      </c>
      <c r="B6" s="4" t="s">
        <v>286</v>
      </c>
      <c r="C6" s="4" t="s">
        <v>278</v>
      </c>
      <c r="D6" s="4" t="s">
        <v>287</v>
      </c>
      <c r="E6" s="4" t="s">
        <v>280</v>
      </c>
      <c r="F6" s="4">
        <v>4.4000000000000004</v>
      </c>
    </row>
    <row r="7" spans="1:6" x14ac:dyDescent="0.25">
      <c r="A7" s="4" t="s">
        <v>94</v>
      </c>
      <c r="B7" s="4" t="s">
        <v>288</v>
      </c>
      <c r="C7" s="4" t="s">
        <v>289</v>
      </c>
      <c r="D7" s="4" t="s">
        <v>290</v>
      </c>
      <c r="E7" s="4" t="s">
        <v>291</v>
      </c>
      <c r="F7" s="4">
        <v>3.9</v>
      </c>
    </row>
    <row r="8" spans="1:6" x14ac:dyDescent="0.25">
      <c r="A8" s="4" t="s">
        <v>12</v>
      </c>
      <c r="B8" s="4" t="s">
        <v>292</v>
      </c>
      <c r="C8" s="4" t="s">
        <v>278</v>
      </c>
      <c r="D8" s="4" t="s">
        <v>293</v>
      </c>
      <c r="E8" s="4" t="s">
        <v>285</v>
      </c>
      <c r="F8" s="4">
        <v>4.3</v>
      </c>
    </row>
    <row r="9" spans="1:6" x14ac:dyDescent="0.25">
      <c r="A9" s="4" t="s">
        <v>103</v>
      </c>
      <c r="B9" s="4" t="s">
        <v>294</v>
      </c>
      <c r="C9" s="4" t="s">
        <v>295</v>
      </c>
      <c r="D9" s="4" t="s">
        <v>296</v>
      </c>
      <c r="E9" s="4" t="s">
        <v>276</v>
      </c>
      <c r="F9" s="4">
        <v>4</v>
      </c>
    </row>
    <row r="10" spans="1:6" x14ac:dyDescent="0.25">
      <c r="A10" s="4" t="s">
        <v>99</v>
      </c>
      <c r="B10" s="4" t="s">
        <v>297</v>
      </c>
      <c r="C10" s="4" t="s">
        <v>289</v>
      </c>
      <c r="D10" s="4" t="s">
        <v>290</v>
      </c>
      <c r="E10" s="4" t="s">
        <v>291</v>
      </c>
      <c r="F10" s="4">
        <v>4.7</v>
      </c>
    </row>
    <row r="11" spans="1:6" x14ac:dyDescent="0.25">
      <c r="A11" s="4" t="s">
        <v>34</v>
      </c>
      <c r="B11" s="4" t="s">
        <v>298</v>
      </c>
      <c r="C11" s="4" t="s">
        <v>299</v>
      </c>
      <c r="D11" s="4" t="s">
        <v>300</v>
      </c>
      <c r="E11" s="4" t="s">
        <v>285</v>
      </c>
      <c r="F11" s="4">
        <v>4.5</v>
      </c>
    </row>
    <row r="12" spans="1:6" x14ac:dyDescent="0.25">
      <c r="A12" s="4" t="s">
        <v>199</v>
      </c>
      <c r="B12" s="4" t="s">
        <v>301</v>
      </c>
      <c r="C12" s="4" t="s">
        <v>274</v>
      </c>
      <c r="D12" s="4" t="s">
        <v>302</v>
      </c>
      <c r="E12" s="4" t="s">
        <v>280</v>
      </c>
      <c r="F12" s="4">
        <v>4.2</v>
      </c>
    </row>
    <row r="13" spans="1:6" x14ac:dyDescent="0.25">
      <c r="A13" s="4" t="s">
        <v>81</v>
      </c>
      <c r="B13" s="4" t="s">
        <v>303</v>
      </c>
      <c r="C13" s="4" t="s">
        <v>278</v>
      </c>
      <c r="D13" s="4" t="s">
        <v>304</v>
      </c>
      <c r="E13" s="4" t="s">
        <v>276</v>
      </c>
      <c r="F13" s="4">
        <v>3.8</v>
      </c>
    </row>
    <row r="14" spans="1:6" x14ac:dyDescent="0.25">
      <c r="A14" s="4" t="s">
        <v>74</v>
      </c>
      <c r="B14" s="4" t="s">
        <v>305</v>
      </c>
      <c r="C14" s="4" t="s">
        <v>289</v>
      </c>
      <c r="D14" s="4" t="s">
        <v>290</v>
      </c>
      <c r="E14" s="4" t="s">
        <v>291</v>
      </c>
      <c r="F14" s="4">
        <v>4.4000000000000004</v>
      </c>
    </row>
    <row r="15" spans="1:6" x14ac:dyDescent="0.25">
      <c r="A15" s="4" t="s">
        <v>43</v>
      </c>
      <c r="B15" s="4" t="s">
        <v>306</v>
      </c>
      <c r="C15" s="4" t="s">
        <v>278</v>
      </c>
      <c r="D15" s="4" t="s">
        <v>307</v>
      </c>
      <c r="E15" s="4" t="s">
        <v>285</v>
      </c>
      <c r="F15" s="4">
        <v>4.0999999999999996</v>
      </c>
    </row>
    <row r="16" spans="1:6" x14ac:dyDescent="0.25">
      <c r="A16" s="4" t="s">
        <v>46</v>
      </c>
      <c r="B16" s="4" t="s">
        <v>308</v>
      </c>
      <c r="C16" s="4" t="s">
        <v>274</v>
      </c>
      <c r="D16" s="4" t="s">
        <v>302</v>
      </c>
      <c r="E16" s="4" t="s">
        <v>276</v>
      </c>
      <c r="F16" s="4">
        <v>4.5999999999999996</v>
      </c>
    </row>
    <row r="17" spans="1:6" x14ac:dyDescent="0.25">
      <c r="A17" s="4" t="s">
        <v>138</v>
      </c>
      <c r="B17" s="4" t="s">
        <v>309</v>
      </c>
      <c r="C17" s="4" t="s">
        <v>295</v>
      </c>
      <c r="D17" s="4" t="s">
        <v>296</v>
      </c>
      <c r="E17" s="4" t="s">
        <v>280</v>
      </c>
      <c r="F17" s="4">
        <v>3.7</v>
      </c>
    </row>
    <row r="18" spans="1:6" x14ac:dyDescent="0.25">
      <c r="A18" s="4" t="s">
        <v>107</v>
      </c>
      <c r="B18" s="4" t="s">
        <v>310</v>
      </c>
      <c r="C18" s="4" t="s">
        <v>278</v>
      </c>
      <c r="D18" s="4" t="s">
        <v>311</v>
      </c>
      <c r="E18" s="4" t="s">
        <v>285</v>
      </c>
      <c r="F18" s="4">
        <v>4</v>
      </c>
    </row>
    <row r="19" spans="1:6" x14ac:dyDescent="0.25">
      <c r="A19" s="4" t="s">
        <v>49</v>
      </c>
      <c r="B19" s="4" t="s">
        <v>312</v>
      </c>
      <c r="C19" s="4" t="s">
        <v>313</v>
      </c>
      <c r="D19" s="4" t="s">
        <v>314</v>
      </c>
      <c r="E19" s="4" t="s">
        <v>291</v>
      </c>
      <c r="F19" s="4">
        <v>4.3</v>
      </c>
    </row>
    <row r="20" spans="1:6" x14ac:dyDescent="0.25">
      <c r="A20" s="4" t="s">
        <v>18</v>
      </c>
      <c r="B20" s="4" t="s">
        <v>315</v>
      </c>
      <c r="C20" s="4" t="s">
        <v>316</v>
      </c>
      <c r="D20" s="4" t="s">
        <v>317</v>
      </c>
      <c r="E20" s="4" t="s">
        <v>276</v>
      </c>
      <c r="F20" s="4">
        <v>4.2</v>
      </c>
    </row>
    <row r="21" spans="1:6" x14ac:dyDescent="0.25">
      <c r="A21" s="4" t="s">
        <v>88</v>
      </c>
      <c r="B21" s="4" t="s">
        <v>318</v>
      </c>
      <c r="C21" s="4" t="s">
        <v>316</v>
      </c>
      <c r="D21" s="4" t="s">
        <v>319</v>
      </c>
      <c r="E21" s="4" t="s">
        <v>280</v>
      </c>
      <c r="F21" s="4">
        <v>3.9</v>
      </c>
    </row>
    <row r="22" spans="1:6" x14ac:dyDescent="0.25">
      <c r="A22" s="4" t="s">
        <v>30</v>
      </c>
      <c r="B22" s="4" t="s">
        <v>320</v>
      </c>
      <c r="C22" s="4" t="s">
        <v>274</v>
      </c>
      <c r="D22" s="4" t="s">
        <v>302</v>
      </c>
      <c r="E22" s="4" t="s">
        <v>285</v>
      </c>
      <c r="F22" s="4">
        <v>4.0999999999999996</v>
      </c>
    </row>
    <row r="23" spans="1:6" x14ac:dyDescent="0.25">
      <c r="A23" s="4" t="s">
        <v>24</v>
      </c>
      <c r="B23" s="4" t="s">
        <v>321</v>
      </c>
      <c r="C23" s="4" t="s">
        <v>322</v>
      </c>
      <c r="D23" s="4" t="s">
        <v>323</v>
      </c>
      <c r="E23" s="4" t="s">
        <v>276</v>
      </c>
      <c r="F23" s="4">
        <v>4.5</v>
      </c>
    </row>
    <row r="24" spans="1:6" x14ac:dyDescent="0.25">
      <c r="A24" s="4" t="s">
        <v>55</v>
      </c>
      <c r="B24" s="4" t="s">
        <v>324</v>
      </c>
      <c r="C24" s="4" t="s">
        <v>322</v>
      </c>
      <c r="D24" s="4" t="s">
        <v>323</v>
      </c>
      <c r="E24" s="4" t="s">
        <v>280</v>
      </c>
      <c r="F24" s="4">
        <v>4</v>
      </c>
    </row>
    <row r="25" spans="1:6" x14ac:dyDescent="0.25">
      <c r="A25" s="4" t="s">
        <v>58</v>
      </c>
      <c r="B25" s="4" t="s">
        <v>325</v>
      </c>
      <c r="C25" s="4" t="s">
        <v>278</v>
      </c>
      <c r="D25" s="4" t="s">
        <v>287</v>
      </c>
      <c r="E25" s="4" t="s">
        <v>285</v>
      </c>
      <c r="F25" s="4">
        <v>3.8</v>
      </c>
    </row>
    <row r="26" spans="1:6" x14ac:dyDescent="0.25">
      <c r="A26" s="4" t="s">
        <v>83</v>
      </c>
      <c r="B26" s="4" t="s">
        <v>326</v>
      </c>
      <c r="C26" s="4" t="s">
        <v>327</v>
      </c>
      <c r="D26" s="4" t="s">
        <v>328</v>
      </c>
      <c r="E26" s="4" t="s">
        <v>276</v>
      </c>
      <c r="F26" s="4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Product_Reference</vt:lpstr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2026-10-08T05:12:24Z</dcterms:created>
  <dcterms:modified xsi:type="dcterms:W3CDTF">2026-10-08T07:25:35Z</dcterms:modified>
</cp:coreProperties>
</file>