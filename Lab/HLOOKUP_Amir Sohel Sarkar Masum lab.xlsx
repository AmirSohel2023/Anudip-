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55FB8FEA-7B5C-4D0F-941F-BBD545EBE37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les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4" i="2"/>
  <c r="K2" i="2"/>
  <c r="C18" i="2"/>
  <c r="D18" i="2"/>
  <c r="E18" i="2"/>
  <c r="F18" i="2"/>
  <c r="B18" i="2"/>
  <c r="K16" i="2" s="1"/>
  <c r="C17" i="2"/>
  <c r="D17" i="2"/>
  <c r="E17" i="2"/>
  <c r="F17" i="2"/>
  <c r="B17" i="2"/>
  <c r="C16" i="2"/>
  <c r="D16" i="2"/>
  <c r="E16" i="2"/>
  <c r="F16" i="2"/>
  <c r="B16" i="2"/>
  <c r="G16" i="2" s="1"/>
  <c r="C15" i="2"/>
  <c r="D15" i="2"/>
  <c r="E15" i="2"/>
  <c r="F15" i="2"/>
  <c r="B14" i="2"/>
  <c r="B15" i="2"/>
  <c r="G15" i="2" s="1"/>
  <c r="C14" i="2"/>
  <c r="K13" i="2" s="1"/>
  <c r="D14" i="2"/>
  <c r="E14" i="2"/>
  <c r="F14" i="2"/>
  <c r="C13" i="2"/>
  <c r="D13" i="2"/>
  <c r="E13" i="2"/>
  <c r="F13" i="2"/>
  <c r="B13" i="2"/>
  <c r="G13" i="2" s="1"/>
  <c r="K26" i="1" a="1"/>
  <c r="K26" i="1" s="1"/>
  <c r="K2" i="1"/>
  <c r="K21" i="1" a="1"/>
  <c r="K21" i="1" s="1"/>
  <c r="K16" i="1" a="1"/>
  <c r="K16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K12" i="1" a="1"/>
  <c r="K12" i="1" s="1"/>
  <c r="K8" i="1"/>
  <c r="K5" i="1"/>
  <c r="Q12" i="1" l="1"/>
  <c r="G17" i="2"/>
  <c r="K19" i="2"/>
  <c r="G18" i="2"/>
  <c r="G14" i="2"/>
  <c r="K10" i="2"/>
  <c r="K27" i="1"/>
  <c r="K22" i="1"/>
  <c r="K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<sst xmlns="http://schemas.openxmlformats.org/spreadsheetml/2006/main" count="110" uniqueCount="38">
  <si>
    <t>Month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</si>
  <si>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</si>
  <si>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</si>
  <si>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</si>
  <si>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</si>
  <si>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</si>
  <si>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</si>
  <si>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</si>
  <si>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Jan</t>
  </si>
  <si>
    <t>ANS.</t>
  </si>
  <si>
    <t>Feb</t>
  </si>
  <si>
    <t>Mar</t>
  </si>
  <si>
    <t>2. Use HLOOKUP to find the sales for Product D in May.</t>
  </si>
  <si>
    <t>Apr</t>
  </si>
  <si>
    <t>May</t>
  </si>
  <si>
    <t>3. Use HLOOKUP to find the sales for Product C in February.</t>
  </si>
  <si>
    <t>4. Use HLOOKUP to find the sales for each month for a product, then calculate the total sales for that product.</t>
  </si>
  <si>
    <t>Total_Sales</t>
  </si>
  <si>
    <t>sales</t>
  </si>
  <si>
    <t>5. Use HLOOKUP to find the maximum sales value for Product B across all months.</t>
  </si>
  <si>
    <t>max. value</t>
  </si>
  <si>
    <t>6. Use HLOOKUP to find the minimum sales value for Product F across all months.</t>
  </si>
  <si>
    <t>min.value`</t>
  </si>
  <si>
    <t>7. Use HLOOKUP to find the average sales value for Product E across all months.</t>
  </si>
  <si>
    <t>avg. sales</t>
  </si>
  <si>
    <t>Total</t>
  </si>
  <si>
    <t>Total_sales</t>
  </si>
  <si>
    <t>Column1</t>
  </si>
  <si>
    <t>Min. Sales</t>
  </si>
  <si>
    <t>Max. Sales</t>
  </si>
  <si>
    <t>Avg. Sales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</si>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</sst>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theme="6" tint="0.39997558519241921"/>
        <bgColor theme="4" tint="0.59999389629810485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theme="0"/>
      </top>
      <bottom/>
      <diagonal/>
    </border>
    <border>
      <left style="thin">
        <color theme="0"/>
      </left>
      <right style="medium">
        <color indexed="64"/>
      </right>
      <top style="thick">
        <color theme="0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 vertical="top"/>
    </xf>
    <xf numFmtId="0" fontId="0" fillId="4" borderId="1" xfId="0" applyFill="1" applyBorder="1"/>
    <xf numFmtId="0" fontId="0" fillId="3" borderId="2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1" fillId="0" borderId="0" xfId="0" applyFont="1" applyAlignment="1">
      <alignment vertical="top"/>
    </xf>
    <xf numFmtId="0" fontId="0" fillId="0" borderId="3" xfId="0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3" xfId="0" applyFont="1" applyBorder="1"/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horizontal="left" vertical="top"/>
    </xf>
    <xf numFmtId="0" fontId="0" fillId="6" borderId="5" xfId="0" applyFill="1" applyBorder="1"/>
    <xf numFmtId="0" fontId="0" fillId="7" borderId="5" xfId="0" applyFill="1" applyBorder="1"/>
    <xf numFmtId="0" fontId="5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4" fillId="7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0" fontId="5" fillId="8" borderId="5" xfId="0" applyFont="1" applyFill="1" applyBorder="1" applyAlignment="1">
      <alignment horizontal="center" vertical="center"/>
    </xf>
    <xf numFmtId="0" fontId="0" fillId="8" borderId="5" xfId="0" applyFill="1" applyBorder="1"/>
    <xf numFmtId="0" fontId="4" fillId="8" borderId="7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center" vertical="center"/>
    </xf>
    <xf numFmtId="0" fontId="0" fillId="11" borderId="5" xfId="0" applyFill="1" applyBorder="1"/>
    <xf numFmtId="0" fontId="4" fillId="11" borderId="5" xfId="0" applyFont="1" applyFill="1" applyBorder="1" applyAlignment="1">
      <alignment horizontal="left" vertical="center"/>
    </xf>
    <xf numFmtId="0" fontId="0" fillId="11" borderId="3" xfId="0" applyFill="1" applyBorder="1" applyAlignment="1">
      <alignment horizontal="left" vertical="top"/>
    </xf>
    <xf numFmtId="0" fontId="3" fillId="12" borderId="3" xfId="0" applyFont="1" applyFill="1" applyBorder="1"/>
    <xf numFmtId="0" fontId="3" fillId="13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0" fillId="15" borderId="3" xfId="0" applyFill="1" applyBorder="1"/>
    <xf numFmtId="0" fontId="5" fillId="15" borderId="3" xfId="0" applyFont="1" applyFill="1" applyBorder="1"/>
    <xf numFmtId="0" fontId="3" fillId="2" borderId="0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3" borderId="11" xfId="0" applyFont="1" applyFill="1" applyBorder="1" applyAlignment="1">
      <alignment horizontal="center"/>
    </xf>
    <xf numFmtId="0" fontId="0" fillId="3" borderId="12" xfId="0" applyFill="1" applyBorder="1"/>
    <xf numFmtId="0" fontId="3" fillId="4" borderId="13" xfId="0" applyFont="1" applyFill="1" applyBorder="1" applyAlignment="1">
      <alignment horizontal="center"/>
    </xf>
    <xf numFmtId="0" fontId="0" fillId="4" borderId="14" xfId="0" applyFill="1" applyBorder="1"/>
    <xf numFmtId="0" fontId="3" fillId="3" borderId="13" xfId="0" applyFont="1" applyFill="1" applyBorder="1" applyAlignment="1">
      <alignment horizontal="center"/>
    </xf>
    <xf numFmtId="0" fontId="0" fillId="3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2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18"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2C9E5-3593-4788-8CB2-7D084D8B5D09}" name="Table3" displayName="Table3" ref="A11:F17" totalsRowShown="0" headerRowDxfId="16" tableBorderDxfId="15">
  <autoFilter ref="A11:F17" xr:uid="{F4E2C9E5-3593-4788-8CB2-7D084D8B5D09}"/>
  <tableColumns count="6">
    <tableColumn id="1" xr3:uid="{B56C7064-F0BB-46BD-A5A8-2256DEFC0456}" name="Month" dataDxfId="14"/>
    <tableColumn id="2" xr3:uid="{E4A68499-22FA-447D-8565-FB19C62E912F}" name="Jan" dataDxfId="13"/>
    <tableColumn id="3" xr3:uid="{7F5E7187-9833-430E-A5F0-29D56AC99691}" name="Feb" dataDxfId="12"/>
    <tableColumn id="4" xr3:uid="{BAE83DD0-323C-4E91-BB19-D8B382D00DFF}" name="Mar" dataDxfId="11"/>
    <tableColumn id="5" xr3:uid="{699AD949-764E-4B96-87FB-58B509B25EA3}" name="Apr" dataDxfId="10"/>
    <tableColumn id="6" xr3:uid="{04B39697-30DB-459E-823D-5BDA70A1720E}" name="May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54CEE-2E01-4C7E-BC2D-CAF6E39AC759}" name="Table1" displayName="Table1" ref="A12:G18" totalsRowShown="0" tableBorderDxfId="8">
  <autoFilter ref="A12:G18" xr:uid="{4C454CEE-2E01-4C7E-BC2D-CAF6E39AC759}"/>
  <tableColumns count="7">
    <tableColumn id="1" xr3:uid="{42FD9D4B-98B8-4F44-AFE7-BD38176A2A46}" name="Column1" dataDxfId="7"/>
    <tableColumn id="2" xr3:uid="{C8DFED39-905E-4B33-AF4A-BB7A487E2CD8}" name="Jan"/>
    <tableColumn id="3" xr3:uid="{E625E55C-71BF-4656-A69C-88F1DD33C60D}" name="Feb"/>
    <tableColumn id="4" xr3:uid="{53834CCC-D8EF-45BB-A795-F074CBA89FE9}" name="Mar"/>
    <tableColumn id="5" xr3:uid="{9DC24BC7-BF23-4EBD-B681-99BEE52D4B69}" name="Apr"/>
    <tableColumn id="6" xr3:uid="{C018A507-D7A6-4C72-ACAB-2A9142DAA0FF}" name="May"/>
    <tableColumn id="7" xr3:uid="{958218E9-C90A-4DF4-AD4E-F92732FEBE14}" name="Total">
      <calculatedColumnFormula>SUM(B13:F13)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B3A1E-AD90-4F66-ADE6-41957494F919}" name="Table2" displayName="Table2" ref="A1:F7" totalsRowShown="0" headerRowDxfId="17" tableBorderDxfId="6">
  <autoFilter ref="A1:F7" xr:uid="{49CB3A1E-AD90-4F66-ADE6-41957494F919}"/>
  <tableColumns count="6">
    <tableColumn id="1" xr3:uid="{CF4071FA-C95E-4CDC-B995-EA110D6890ED}" name="Month" dataDxfId="5"/>
    <tableColumn id="2" xr3:uid="{849C0C50-21BF-4D21-A418-D7C0183AA89C}" name="Jan" dataDxfId="4"/>
    <tableColumn id="3" xr3:uid="{481C836C-B4FD-48CE-B34A-D772C23C464B}" name="Feb" dataDxfId="3"/>
    <tableColumn id="4" xr3:uid="{A93870D8-6FFA-4D16-8B5D-E602D5D7E87B}" name="Mar" dataDxfId="2"/>
    <tableColumn id="5" xr3:uid="{285BDF61-E4BB-4023-B215-6503ED5664F6}" name="Apr" dataDxfId="1"/>
    <tableColumn id="6" xr3:uid="{247DCBD6-B074-43A1-A625-4AF2270C37BC}" name="May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selection activeCell="H12" sqref="H12"/>
    </sheetView>
  </sheetViews>
  <sheetFormatPr defaultRowHeight="14.5" x14ac:dyDescent="0.35"/>
  <cols>
    <col min="1" max="1" width="9.36328125" bestFit="1" customWidth="1"/>
    <col min="2" max="2" width="11.36328125" customWidth="1"/>
    <col min="3" max="4" width="11.08984375" customWidth="1"/>
    <col min="5" max="5" width="11.36328125" customWidth="1"/>
    <col min="6" max="6" width="11" customWidth="1"/>
    <col min="7" max="7" width="10.90625" customWidth="1"/>
    <col min="10" max="10" width="11.453125" customWidth="1"/>
    <col min="13" max="13" width="11" bestFit="1" customWidth="1"/>
    <col min="16" max="17" width="11" bestFit="1" customWidth="1"/>
  </cols>
  <sheetData>
    <row r="1" spans="1:19" ht="15" thickBot="1" x14ac:dyDescent="0.4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6" t="s">
        <v>6</v>
      </c>
      <c r="J1" s="13" t="s">
        <v>7</v>
      </c>
      <c r="K1" s="13"/>
      <c r="L1" s="13"/>
      <c r="M1" s="13"/>
      <c r="N1" s="13"/>
      <c r="O1" s="12"/>
    </row>
    <row r="2" spans="1:19" ht="15" thickTop="1" x14ac:dyDescent="0.35">
      <c r="A2" s="47" t="s">
        <v>8</v>
      </c>
      <c r="B2" s="3">
        <v>120</v>
      </c>
      <c r="C2" s="3">
        <v>150</v>
      </c>
      <c r="D2" s="3">
        <v>200</v>
      </c>
      <c r="E2" s="3">
        <v>90</v>
      </c>
      <c r="F2" s="3">
        <v>220</v>
      </c>
      <c r="G2" s="48">
        <v>130</v>
      </c>
      <c r="J2" s="13" t="s">
        <v>9</v>
      </c>
      <c r="K2" s="37">
        <f>HLOOKUP(B1,A1:G6,4,FALSE)</f>
        <v>140</v>
      </c>
      <c r="L2" s="12"/>
      <c r="M2" s="12"/>
      <c r="N2" s="12"/>
      <c r="O2" s="12"/>
    </row>
    <row r="3" spans="1:19" ht="14.4" customHeight="1" x14ac:dyDescent="0.35">
      <c r="A3" s="49" t="s">
        <v>10</v>
      </c>
      <c r="B3" s="2">
        <v>130</v>
      </c>
      <c r="C3" s="2">
        <v>160</v>
      </c>
      <c r="D3" s="2">
        <v>210</v>
      </c>
      <c r="E3" s="2">
        <v>100</v>
      </c>
      <c r="F3" s="2">
        <v>230</v>
      </c>
      <c r="G3" s="50">
        <v>140</v>
      </c>
    </row>
    <row r="4" spans="1:19" ht="14.4" customHeight="1" x14ac:dyDescent="0.35">
      <c r="A4" s="51" t="s">
        <v>11</v>
      </c>
      <c r="B4" s="4">
        <v>140</v>
      </c>
      <c r="C4" s="4">
        <v>170</v>
      </c>
      <c r="D4" s="4">
        <v>220</v>
      </c>
      <c r="E4" s="4">
        <v>110</v>
      </c>
      <c r="F4" s="4">
        <v>240</v>
      </c>
      <c r="G4" s="52">
        <v>150</v>
      </c>
      <c r="J4" s="25" t="s">
        <v>12</v>
      </c>
      <c r="K4" s="25"/>
      <c r="L4" s="25"/>
      <c r="M4" s="25"/>
      <c r="N4" s="25"/>
      <c r="O4" s="5"/>
      <c r="Q4" s="1"/>
      <c r="R4" s="1"/>
    </row>
    <row r="5" spans="1:19" ht="14.4" customHeight="1" x14ac:dyDescent="0.35">
      <c r="A5" s="49" t="s">
        <v>13</v>
      </c>
      <c r="B5" s="2">
        <v>150</v>
      </c>
      <c r="C5" s="2">
        <v>180</v>
      </c>
      <c r="D5" s="2">
        <v>230</v>
      </c>
      <c r="E5" s="2">
        <v>120</v>
      </c>
      <c r="F5" s="2">
        <v>250</v>
      </c>
      <c r="G5" s="50">
        <v>160</v>
      </c>
      <c r="J5" s="9" t="s">
        <v>9</v>
      </c>
      <c r="K5" s="37">
        <f>HLOOKUP(E1,A1:G6,6,FALSE)</f>
        <v>130</v>
      </c>
      <c r="L5" s="5"/>
      <c r="M5" s="5"/>
      <c r="N5" s="5"/>
      <c r="O5" s="5"/>
      <c r="P5" s="1"/>
      <c r="Q5" s="1"/>
      <c r="R5" s="1"/>
    </row>
    <row r="6" spans="1:19" ht="14.4" customHeight="1" x14ac:dyDescent="0.35">
      <c r="A6" s="51" t="s">
        <v>14</v>
      </c>
      <c r="B6" s="4">
        <v>160</v>
      </c>
      <c r="C6" s="4">
        <v>190</v>
      </c>
      <c r="D6" s="4">
        <v>240</v>
      </c>
      <c r="E6" s="4">
        <v>130</v>
      </c>
      <c r="F6" s="4">
        <v>260</v>
      </c>
      <c r="G6" s="52">
        <v>170</v>
      </c>
      <c r="Q6" s="1"/>
      <c r="R6" s="1"/>
    </row>
    <row r="7" spans="1:19" ht="14.4" customHeight="1" thickBot="1" x14ac:dyDescent="0.4">
      <c r="A7" s="53"/>
      <c r="B7" s="54"/>
      <c r="C7" s="54"/>
      <c r="D7" s="54"/>
      <c r="E7" s="54"/>
      <c r="F7" s="54"/>
      <c r="G7" s="55"/>
      <c r="J7" s="9" t="s">
        <v>15</v>
      </c>
      <c r="K7" s="9"/>
      <c r="L7" s="9"/>
      <c r="M7" s="9"/>
      <c r="N7" s="9"/>
      <c r="O7" s="9"/>
      <c r="P7" s="1"/>
      <c r="Q7" s="1"/>
      <c r="R7" s="1"/>
    </row>
    <row r="8" spans="1:19" ht="14.4" customHeight="1" x14ac:dyDescent="0.35">
      <c r="J8" s="9" t="s">
        <v>9</v>
      </c>
      <c r="K8" s="37">
        <f>HLOOKUP(D1,A1:G6,3,FALSE)</f>
        <v>210</v>
      </c>
      <c r="L8" s="5"/>
      <c r="M8" s="5"/>
      <c r="N8" s="5"/>
      <c r="O8" s="5"/>
      <c r="Q8" s="1"/>
      <c r="R8" s="1"/>
    </row>
    <row r="9" spans="1:19" ht="14.4" customHeight="1" x14ac:dyDescent="0.35">
      <c r="P9" s="1"/>
      <c r="Q9" s="1"/>
      <c r="R9" s="1"/>
    </row>
    <row r="10" spans="1:19" ht="18" customHeight="1" x14ac:dyDescent="0.35">
      <c r="J10" s="26" t="s">
        <v>16</v>
      </c>
      <c r="K10" s="26"/>
      <c r="L10" s="26"/>
      <c r="M10" s="26"/>
      <c r="N10" s="26"/>
      <c r="O10" s="26"/>
      <c r="P10" s="26"/>
      <c r="Q10" s="26"/>
      <c r="R10" s="26"/>
      <c r="S10" s="26"/>
    </row>
    <row r="11" spans="1:19" ht="15" thickBot="1" x14ac:dyDescent="0.4">
      <c r="A11" s="56" t="s">
        <v>0</v>
      </c>
      <c r="B11" s="57" t="s">
        <v>8</v>
      </c>
      <c r="C11" s="58" t="s">
        <v>10</v>
      </c>
      <c r="D11" s="57" t="s">
        <v>11</v>
      </c>
      <c r="E11" s="58" t="s">
        <v>13</v>
      </c>
      <c r="F11" s="57" t="s">
        <v>14</v>
      </c>
      <c r="J11" s="11" t="s">
        <v>9</v>
      </c>
      <c r="K11" s="38" t="s">
        <v>1</v>
      </c>
      <c r="L11" s="38" t="s">
        <v>2</v>
      </c>
      <c r="M11" s="38" t="s">
        <v>3</v>
      </c>
      <c r="N11" s="38" t="s">
        <v>4</v>
      </c>
      <c r="O11" s="38" t="s">
        <v>5</v>
      </c>
      <c r="P11" s="38" t="s">
        <v>6</v>
      </c>
      <c r="Q11" s="42" t="s">
        <v>17</v>
      </c>
      <c r="R11" s="6"/>
      <c r="S11" s="6"/>
    </row>
    <row r="12" spans="1:19" ht="15.5" thickTop="1" thickBot="1" x14ac:dyDescent="0.4">
      <c r="A12" s="43" t="s">
        <v>1</v>
      </c>
      <c r="B12" s="3">
        <v>120</v>
      </c>
      <c r="C12" s="2">
        <v>130</v>
      </c>
      <c r="D12" s="4">
        <v>140</v>
      </c>
      <c r="E12" s="2">
        <v>150</v>
      </c>
      <c r="F12" s="4">
        <v>160</v>
      </c>
      <c r="J12" s="11" t="s">
        <v>18</v>
      </c>
      <c r="K12" s="6" cm="1">
        <f t="array" ref="K12">SUM(HLOOKUP(B1,A1:G6,{2,3,4,5,6},FALSE))</f>
        <v>700</v>
      </c>
      <c r="L12" s="6" cm="1">
        <f t="array" ref="L12">SUM(HLOOKUP(C1,B1:H6,{2,3,4,5,6},FALSE))</f>
        <v>850</v>
      </c>
      <c r="M12" s="6" cm="1">
        <f t="array" ref="M12">SUM(HLOOKUP(D1,C1:H6,{2,3,4,5,6},FALSE))</f>
        <v>1100</v>
      </c>
      <c r="N12" s="6" cm="1">
        <f t="array" ref="N12">SUM(HLOOKUP(E1,D1:H6,{2,3,4,5,6},FALSE))</f>
        <v>550</v>
      </c>
      <c r="O12" s="6" cm="1">
        <f t="array" ref="O12">SUM(HLOOKUP(F1,E1:H6,{2,3,4,5,6},FALSE))</f>
        <v>1200</v>
      </c>
      <c r="P12" s="6" cm="1">
        <f t="array" ref="P12">SUM(HLOOKUP(G1,F1:H6,{2,3,4,5,6},FALSE))</f>
        <v>750</v>
      </c>
      <c r="Q12" s="41">
        <f>SUM(K12:P12)</f>
        <v>5150</v>
      </c>
      <c r="R12" s="6"/>
      <c r="S12" s="6"/>
    </row>
    <row r="13" spans="1:19" ht="15.5" thickTop="1" thickBot="1" x14ac:dyDescent="0.4">
      <c r="A13" s="43" t="s">
        <v>2</v>
      </c>
      <c r="B13" s="3">
        <v>150</v>
      </c>
      <c r="C13" s="2">
        <v>160</v>
      </c>
      <c r="D13" s="4">
        <v>170</v>
      </c>
      <c r="E13" s="2">
        <v>180</v>
      </c>
      <c r="F13" s="4">
        <v>190</v>
      </c>
      <c r="Q13" s="7"/>
      <c r="R13" s="7"/>
    </row>
    <row r="14" spans="1:19" ht="15.5" thickTop="1" thickBot="1" x14ac:dyDescent="0.4">
      <c r="A14" s="43" t="s">
        <v>3</v>
      </c>
      <c r="B14" s="3">
        <v>200</v>
      </c>
      <c r="C14" s="2">
        <v>210</v>
      </c>
      <c r="D14" s="4">
        <v>220</v>
      </c>
      <c r="E14" s="2">
        <v>230</v>
      </c>
      <c r="F14" s="4">
        <v>240</v>
      </c>
      <c r="J14" s="25" t="s">
        <v>19</v>
      </c>
      <c r="K14" s="25"/>
      <c r="L14" s="25"/>
      <c r="M14" s="25"/>
      <c r="N14" s="25"/>
      <c r="O14" s="25"/>
      <c r="P14" s="25"/>
    </row>
    <row r="15" spans="1:19" ht="15.5" thickTop="1" thickBot="1" x14ac:dyDescent="0.4">
      <c r="A15" s="43" t="s">
        <v>4</v>
      </c>
      <c r="B15" s="3">
        <v>90</v>
      </c>
      <c r="C15" s="2">
        <v>100</v>
      </c>
      <c r="D15" s="4">
        <v>110</v>
      </c>
      <c r="E15" s="2">
        <v>120</v>
      </c>
      <c r="F15" s="4">
        <v>130</v>
      </c>
      <c r="J15" s="10" t="s">
        <v>9</v>
      </c>
      <c r="K15" s="39" t="s">
        <v>8</v>
      </c>
      <c r="L15" s="40" t="s">
        <v>10</v>
      </c>
      <c r="M15" s="39" t="s">
        <v>11</v>
      </c>
      <c r="N15" s="40" t="s">
        <v>13</v>
      </c>
      <c r="O15" s="39" t="s">
        <v>14</v>
      </c>
      <c r="P15" s="6"/>
      <c r="Q15" s="1"/>
    </row>
    <row r="16" spans="1:19" ht="15.5" thickTop="1" thickBot="1" x14ac:dyDescent="0.4">
      <c r="A16" s="43" t="s">
        <v>5</v>
      </c>
      <c r="B16" s="3">
        <v>220</v>
      </c>
      <c r="C16" s="2">
        <v>230</v>
      </c>
      <c r="D16" s="4">
        <v>240</v>
      </c>
      <c r="E16" s="2">
        <v>250</v>
      </c>
      <c r="F16" s="4">
        <v>260</v>
      </c>
      <c r="J16" s="38" t="s">
        <v>2</v>
      </c>
      <c r="K16" s="6" cm="1">
        <f t="array" ref="K16:O16">HLOOKUP(J16,A1:G6,{2,3,4,5,6},FALSE)</f>
        <v>150</v>
      </c>
      <c r="L16" s="6">
        <v>160</v>
      </c>
      <c r="M16" s="6">
        <v>170</v>
      </c>
      <c r="N16" s="6">
        <v>180</v>
      </c>
      <c r="O16" s="6">
        <v>190</v>
      </c>
      <c r="P16" s="8"/>
      <c r="Q16" s="1"/>
    </row>
    <row r="17" spans="1:18" ht="15" thickTop="1" x14ac:dyDescent="0.35">
      <c r="A17" s="43" t="s">
        <v>6</v>
      </c>
      <c r="B17" s="3">
        <v>130</v>
      </c>
      <c r="C17" s="2">
        <v>140</v>
      </c>
      <c r="D17" s="4">
        <v>150</v>
      </c>
      <c r="E17" s="2">
        <v>160</v>
      </c>
      <c r="F17" s="4">
        <v>170</v>
      </c>
      <c r="J17" s="10" t="s">
        <v>20</v>
      </c>
      <c r="K17" s="41">
        <f>MAX(_xlfn.ANCHORARRAY(K16))</f>
        <v>190</v>
      </c>
      <c r="L17" s="6"/>
      <c r="M17" s="6"/>
      <c r="N17" s="6"/>
      <c r="O17" s="6"/>
      <c r="P17" s="8"/>
    </row>
    <row r="18" spans="1:18" ht="17.25" customHeight="1" x14ac:dyDescent="0.35"/>
    <row r="19" spans="1:18" x14ac:dyDescent="0.35">
      <c r="J19" s="9" t="s">
        <v>21</v>
      </c>
      <c r="K19" s="9"/>
      <c r="L19" s="9"/>
      <c r="M19" s="9"/>
      <c r="N19" s="9"/>
      <c r="O19" s="9"/>
      <c r="P19" s="9"/>
      <c r="Q19" s="9"/>
      <c r="R19" s="14"/>
    </row>
    <row r="20" spans="1:18" x14ac:dyDescent="0.35">
      <c r="J20" s="9" t="s">
        <v>9</v>
      </c>
      <c r="K20" s="39" t="s">
        <v>8</v>
      </c>
      <c r="L20" s="40" t="s">
        <v>10</v>
      </c>
      <c r="M20" s="39" t="s">
        <v>11</v>
      </c>
      <c r="N20" s="40" t="s">
        <v>13</v>
      </c>
      <c r="O20" s="39" t="s">
        <v>14</v>
      </c>
      <c r="P20" s="6"/>
      <c r="Q20" s="5"/>
      <c r="R20" s="6"/>
    </row>
    <row r="21" spans="1:18" x14ac:dyDescent="0.35">
      <c r="J21" s="38" t="s">
        <v>6</v>
      </c>
      <c r="K21" s="6" cm="1">
        <f t="array" ref="K21:O21">HLOOKUP(J21,A1:G6,{2,3,4,5,6},FALSE)</f>
        <v>130</v>
      </c>
      <c r="L21" s="6">
        <v>140</v>
      </c>
      <c r="M21" s="6">
        <v>150</v>
      </c>
      <c r="N21" s="6">
        <v>160</v>
      </c>
      <c r="O21" s="6">
        <v>170</v>
      </c>
      <c r="P21" s="6"/>
      <c r="Q21" s="8"/>
      <c r="R21" s="8"/>
    </row>
    <row r="22" spans="1:18" x14ac:dyDescent="0.35">
      <c r="J22" s="10" t="s">
        <v>22</v>
      </c>
      <c r="K22" s="41">
        <f>MIN(_xlfn.ANCHORARRAY(K21))</f>
        <v>130</v>
      </c>
      <c r="L22" s="6"/>
      <c r="M22" s="6"/>
      <c r="N22" s="6"/>
      <c r="O22" s="6"/>
      <c r="P22" s="6"/>
      <c r="Q22" s="8"/>
      <c r="R22" s="8"/>
    </row>
    <row r="24" spans="1:18" x14ac:dyDescent="0.35">
      <c r="J24" s="26" t="s">
        <v>23</v>
      </c>
      <c r="K24" s="26"/>
      <c r="L24" s="26"/>
      <c r="M24" s="26"/>
      <c r="N24" s="26"/>
      <c r="O24" s="26"/>
      <c r="P24" s="26"/>
      <c r="Q24" s="26"/>
    </row>
    <row r="25" spans="1:18" x14ac:dyDescent="0.35">
      <c r="J25" s="9" t="s">
        <v>9</v>
      </c>
      <c r="K25" s="39" t="s">
        <v>8</v>
      </c>
      <c r="L25" s="40" t="s">
        <v>10</v>
      </c>
      <c r="M25" s="39" t="s">
        <v>11</v>
      </c>
      <c r="N25" s="40" t="s">
        <v>13</v>
      </c>
      <c r="O25" s="39" t="s">
        <v>14</v>
      </c>
      <c r="P25" s="6"/>
      <c r="Q25" s="6"/>
    </row>
    <row r="26" spans="1:18" x14ac:dyDescent="0.35">
      <c r="J26" s="38" t="s">
        <v>5</v>
      </c>
      <c r="K26" s="6" cm="1">
        <f t="array" ref="K26:O26">HLOOKUP(J26,A1:G6,{2,3,4,5,6},FALSE)</f>
        <v>220</v>
      </c>
      <c r="L26" s="6">
        <v>230</v>
      </c>
      <c r="M26" s="6">
        <v>240</v>
      </c>
      <c r="N26" s="6">
        <v>250</v>
      </c>
      <c r="O26" s="6">
        <v>260</v>
      </c>
      <c r="P26" s="6"/>
      <c r="Q26" s="6"/>
    </row>
    <row r="27" spans="1:18" x14ac:dyDescent="0.35">
      <c r="J27" s="10" t="s">
        <v>24</v>
      </c>
      <c r="K27" s="41">
        <f>AVERAGE(_xlfn.ANCHORARRAY(K26))</f>
        <v>240</v>
      </c>
      <c r="L27" s="6"/>
      <c r="M27" s="6"/>
      <c r="N27" s="6"/>
      <c r="O27" s="6"/>
      <c r="P27" s="6"/>
      <c r="Q27" s="6"/>
    </row>
  </sheetData>
  <mergeCells count="4">
    <mergeCell ref="J4:N4"/>
    <mergeCell ref="J10:S10"/>
    <mergeCell ref="J24:Q24"/>
    <mergeCell ref="J14:P1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9755-EEDD-4BF2-AEE8-50E1BF82737C}">
  <dimension ref="A1:Y19"/>
  <sheetViews>
    <sheetView tabSelected="1" workbookViewId="0">
      <selection activeCell="M24" sqref="M24"/>
    </sheetView>
  </sheetViews>
  <sheetFormatPr defaultRowHeight="14.5" x14ac:dyDescent="0.35"/>
  <cols>
    <col min="1" max="1" width="10.453125" customWidth="1"/>
    <col min="11" max="11" width="10.1796875" bestFit="1" customWidth="1"/>
    <col min="16" max="16" width="10.1796875" bestFit="1" customWidth="1"/>
  </cols>
  <sheetData>
    <row r="1" spans="1:25" ht="15" thickBot="1" x14ac:dyDescent="0.4">
      <c r="A1" s="56" t="s">
        <v>0</v>
      </c>
      <c r="B1" s="57" t="s">
        <v>8</v>
      </c>
      <c r="C1" s="58" t="s">
        <v>10</v>
      </c>
      <c r="D1" s="57" t="s">
        <v>11</v>
      </c>
      <c r="E1" s="58" t="s">
        <v>13</v>
      </c>
      <c r="F1" s="57" t="s">
        <v>14</v>
      </c>
    </row>
    <row r="2" spans="1:25" ht="15.5" thickTop="1" thickBot="1" x14ac:dyDescent="0.4">
      <c r="A2" s="43" t="s">
        <v>1</v>
      </c>
      <c r="B2" s="3">
        <v>120</v>
      </c>
      <c r="C2" s="2">
        <v>130</v>
      </c>
      <c r="D2" s="4">
        <v>140</v>
      </c>
      <c r="E2" s="2">
        <v>150</v>
      </c>
      <c r="F2" s="4">
        <v>160</v>
      </c>
      <c r="J2" s="19" t="s">
        <v>31</v>
      </c>
      <c r="K2" s="32">
        <f>HLOOKUP(D1,A1:F7,2,FALSE)</f>
        <v>140</v>
      </c>
      <c r="O2" s="33" t="s">
        <v>7</v>
      </c>
      <c r="P2" s="33"/>
      <c r="Q2" s="33"/>
      <c r="R2" s="33"/>
      <c r="S2" s="33"/>
      <c r="T2" s="33"/>
    </row>
    <row r="3" spans="1:25" ht="15.5" thickTop="1" thickBot="1" x14ac:dyDescent="0.4">
      <c r="A3" s="43" t="s">
        <v>2</v>
      </c>
      <c r="B3" s="3">
        <v>150</v>
      </c>
      <c r="C3" s="2">
        <v>160</v>
      </c>
      <c r="D3" s="4">
        <v>170</v>
      </c>
      <c r="E3" s="2">
        <v>180</v>
      </c>
      <c r="F3" s="4">
        <v>190</v>
      </c>
      <c r="O3" s="24" t="s">
        <v>12</v>
      </c>
      <c r="P3" s="24"/>
      <c r="Q3" s="24"/>
      <c r="R3" s="24"/>
      <c r="S3" s="24"/>
      <c r="T3" s="24"/>
    </row>
    <row r="4" spans="1:25" ht="15.5" thickTop="1" thickBot="1" x14ac:dyDescent="0.4">
      <c r="A4" s="43" t="s">
        <v>3</v>
      </c>
      <c r="B4" s="3">
        <v>200</v>
      </c>
      <c r="C4" s="2">
        <v>210</v>
      </c>
      <c r="D4" s="4">
        <v>220</v>
      </c>
      <c r="E4" s="2">
        <v>230</v>
      </c>
      <c r="F4" s="4">
        <v>240</v>
      </c>
      <c r="J4" s="19" t="s">
        <v>32</v>
      </c>
      <c r="K4" s="20">
        <f>HLOOKUP(E1,A1:F7,5,FALSE)</f>
        <v>120</v>
      </c>
      <c r="O4" s="31" t="s">
        <v>15</v>
      </c>
      <c r="P4" s="31"/>
      <c r="Q4" s="31"/>
      <c r="R4" s="31"/>
      <c r="S4" s="31"/>
      <c r="T4" s="31"/>
    </row>
    <row r="5" spans="1:25" ht="15.5" thickTop="1" thickBot="1" x14ac:dyDescent="0.4">
      <c r="A5" s="43" t="s">
        <v>4</v>
      </c>
      <c r="B5" s="3">
        <v>90</v>
      </c>
      <c r="C5" s="2">
        <v>100</v>
      </c>
      <c r="D5" s="4">
        <v>110</v>
      </c>
      <c r="E5" s="2">
        <v>120</v>
      </c>
      <c r="F5" s="4">
        <v>130</v>
      </c>
      <c r="O5" s="23" t="s">
        <v>16</v>
      </c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5.5" thickTop="1" thickBot="1" x14ac:dyDescent="0.4">
      <c r="A6" s="43" t="s">
        <v>5</v>
      </c>
      <c r="B6" s="3">
        <v>220</v>
      </c>
      <c r="C6" s="2">
        <v>230</v>
      </c>
      <c r="D6" s="4">
        <v>240</v>
      </c>
      <c r="E6" s="2">
        <v>250</v>
      </c>
      <c r="F6" s="4">
        <v>260</v>
      </c>
      <c r="O6" s="29" t="s">
        <v>19</v>
      </c>
      <c r="P6" s="29"/>
      <c r="Q6" s="29"/>
      <c r="R6" s="29"/>
      <c r="S6" s="29"/>
      <c r="T6" s="29"/>
      <c r="U6" s="29"/>
      <c r="V6" s="29"/>
    </row>
    <row r="7" spans="1:25" ht="15" thickTop="1" x14ac:dyDescent="0.35">
      <c r="A7" s="43" t="s">
        <v>6</v>
      </c>
      <c r="B7" s="3">
        <v>130</v>
      </c>
      <c r="C7" s="2">
        <v>140</v>
      </c>
      <c r="D7" s="4">
        <v>150</v>
      </c>
      <c r="E7" s="2">
        <v>160</v>
      </c>
      <c r="F7" s="4">
        <v>170</v>
      </c>
      <c r="J7" s="19" t="s">
        <v>33</v>
      </c>
      <c r="K7" s="30">
        <f>HLOOKUP(C1,A1:F7,4,FALSE)</f>
        <v>210</v>
      </c>
      <c r="O7" s="22" t="s">
        <v>21</v>
      </c>
      <c r="P7" s="22"/>
      <c r="Q7" s="22"/>
      <c r="R7" s="22"/>
      <c r="S7" s="22"/>
      <c r="T7" s="22"/>
      <c r="U7" s="22"/>
      <c r="V7" s="22"/>
    </row>
    <row r="8" spans="1:25" x14ac:dyDescent="0.35">
      <c r="O8" s="36" t="s">
        <v>23</v>
      </c>
      <c r="P8" s="36"/>
      <c r="Q8" s="36"/>
      <c r="R8" s="36"/>
      <c r="S8" s="36"/>
      <c r="T8" s="36"/>
      <c r="U8" s="36"/>
      <c r="V8" s="36"/>
    </row>
    <row r="9" spans="1:25" x14ac:dyDescent="0.35">
      <c r="J9" s="21" t="s">
        <v>34</v>
      </c>
      <c r="K9" s="17" t="s">
        <v>26</v>
      </c>
    </row>
    <row r="10" spans="1:25" x14ac:dyDescent="0.35">
      <c r="J10" s="21"/>
      <c r="K10" s="15">
        <f>SUM(G13:G18)</f>
        <v>5150</v>
      </c>
    </row>
    <row r="12" spans="1:25" x14ac:dyDescent="0.35">
      <c r="A12" s="59" t="s">
        <v>27</v>
      </c>
      <c r="B12" s="59" t="s">
        <v>8</v>
      </c>
      <c r="C12" s="59" t="s">
        <v>10</v>
      </c>
      <c r="D12" s="59" t="s">
        <v>11</v>
      </c>
      <c r="E12" s="59" t="s">
        <v>13</v>
      </c>
      <c r="F12" s="59" t="s">
        <v>14</v>
      </c>
      <c r="G12" s="59" t="s">
        <v>25</v>
      </c>
      <c r="J12" s="21" t="s">
        <v>35</v>
      </c>
      <c r="K12" s="27" t="s">
        <v>29</v>
      </c>
    </row>
    <row r="13" spans="1:25" x14ac:dyDescent="0.35">
      <c r="A13" s="43" t="s">
        <v>1</v>
      </c>
      <c r="B13" s="59">
        <f>HLOOKUP(B12,$A$1:$F$7,2,FALSE)</f>
        <v>120</v>
      </c>
      <c r="C13" s="59">
        <f t="shared" ref="C13:F13" si="0">HLOOKUP(C12,$A$1:$F$7,2,FALSE)</f>
        <v>130</v>
      </c>
      <c r="D13" s="59">
        <f t="shared" si="0"/>
        <v>140</v>
      </c>
      <c r="E13" s="59">
        <f t="shared" si="0"/>
        <v>150</v>
      </c>
      <c r="F13" s="59">
        <f t="shared" si="0"/>
        <v>160</v>
      </c>
      <c r="G13" s="59">
        <f>SUM(B13:F13)</f>
        <v>700</v>
      </c>
      <c r="J13" s="21"/>
      <c r="K13" s="28">
        <f>MAX(B14:F14)</f>
        <v>190</v>
      </c>
    </row>
    <row r="14" spans="1:25" x14ac:dyDescent="0.35">
      <c r="A14" s="43" t="s">
        <v>2</v>
      </c>
      <c r="B14" s="59">
        <f>HLOOKUP(B12,$A$1:$F$7,3,FALSE)</f>
        <v>150</v>
      </c>
      <c r="C14" s="59">
        <f t="shared" ref="C14:F14" si="1">HLOOKUP(C12,$A$1:$F$7,3,FALSE)</f>
        <v>160</v>
      </c>
      <c r="D14" s="59">
        <f t="shared" si="1"/>
        <v>170</v>
      </c>
      <c r="E14" s="59">
        <f t="shared" si="1"/>
        <v>180</v>
      </c>
      <c r="F14" s="59">
        <f t="shared" si="1"/>
        <v>190</v>
      </c>
      <c r="G14" s="59">
        <f t="shared" ref="G14:G18" si="2">SUM(B14:F14)</f>
        <v>850</v>
      </c>
    </row>
    <row r="15" spans="1:25" x14ac:dyDescent="0.35">
      <c r="A15" s="43" t="s">
        <v>3</v>
      </c>
      <c r="B15" s="59">
        <f>HLOOKUP(B12,$A$1:$F$7,4,FALSE)</f>
        <v>200</v>
      </c>
      <c r="C15" s="59">
        <f t="shared" ref="C15:F15" si="3">HLOOKUP(C12,$A$1:$F$7,4,FALSE)</f>
        <v>210</v>
      </c>
      <c r="D15" s="59">
        <f t="shared" si="3"/>
        <v>220</v>
      </c>
      <c r="E15" s="59">
        <f t="shared" si="3"/>
        <v>230</v>
      </c>
      <c r="F15" s="59">
        <f t="shared" si="3"/>
        <v>240</v>
      </c>
      <c r="G15" s="59">
        <f t="shared" si="2"/>
        <v>1100</v>
      </c>
      <c r="J15" s="21" t="s">
        <v>36</v>
      </c>
      <c r="K15" s="18" t="s">
        <v>28</v>
      </c>
    </row>
    <row r="16" spans="1:25" x14ac:dyDescent="0.35">
      <c r="A16" s="43" t="s">
        <v>4</v>
      </c>
      <c r="B16" s="59">
        <f>HLOOKUP(B12,$A$1:$F$7,5,FALSE)</f>
        <v>90</v>
      </c>
      <c r="C16" s="59">
        <f t="shared" ref="C16:F16" si="4">HLOOKUP(C12,$A$1:$F$7,5,FALSE)</f>
        <v>100</v>
      </c>
      <c r="D16" s="59">
        <f t="shared" si="4"/>
        <v>110</v>
      </c>
      <c r="E16" s="59">
        <f t="shared" si="4"/>
        <v>120</v>
      </c>
      <c r="F16" s="59">
        <f t="shared" si="4"/>
        <v>130</v>
      </c>
      <c r="G16" s="59">
        <f t="shared" si="2"/>
        <v>550</v>
      </c>
      <c r="J16" s="21"/>
      <c r="K16" s="16">
        <f>MIN(B18:F18)</f>
        <v>130</v>
      </c>
    </row>
    <row r="17" spans="1:11" x14ac:dyDescent="0.35">
      <c r="A17" s="43" t="s">
        <v>5</v>
      </c>
      <c r="B17" s="59">
        <f>HLOOKUP(B12,$A$1:$F$7,6,FALSE)</f>
        <v>220</v>
      </c>
      <c r="C17" s="59">
        <f t="shared" ref="C17:F17" si="5">HLOOKUP(C12,$A$1:$F$7,6,FALSE)</f>
        <v>230</v>
      </c>
      <c r="D17" s="59">
        <f t="shared" si="5"/>
        <v>240</v>
      </c>
      <c r="E17" s="59">
        <f t="shared" si="5"/>
        <v>250</v>
      </c>
      <c r="F17" s="59">
        <f t="shared" si="5"/>
        <v>260</v>
      </c>
      <c r="G17" s="59">
        <f t="shared" si="2"/>
        <v>1200</v>
      </c>
    </row>
    <row r="18" spans="1:11" x14ac:dyDescent="0.35">
      <c r="A18" s="43" t="s">
        <v>6</v>
      </c>
      <c r="B18" s="59">
        <f>HLOOKUP(B12,$A$1:$F$7,7,FALSE)</f>
        <v>130</v>
      </c>
      <c r="C18" s="59">
        <f t="shared" ref="C18:F18" si="6">HLOOKUP(C12,$A$1:$F$7,7,FALSE)</f>
        <v>140</v>
      </c>
      <c r="D18" s="59">
        <f t="shared" si="6"/>
        <v>150</v>
      </c>
      <c r="E18" s="59">
        <f t="shared" si="6"/>
        <v>160</v>
      </c>
      <c r="F18" s="59">
        <f t="shared" si="6"/>
        <v>170</v>
      </c>
      <c r="G18" s="59">
        <f t="shared" si="2"/>
        <v>750</v>
      </c>
      <c r="J18" s="21" t="s">
        <v>37</v>
      </c>
      <c r="K18" s="34" t="s">
        <v>30</v>
      </c>
    </row>
    <row r="19" spans="1:11" x14ac:dyDescent="0.35">
      <c r="J19" s="21"/>
      <c r="K19" s="35">
        <f>AVERAGE(B17:F17)</f>
        <v>240</v>
      </c>
    </row>
  </sheetData>
  <mergeCells count="11">
    <mergeCell ref="O5:Y5"/>
    <mergeCell ref="O2:T2"/>
    <mergeCell ref="O4:T4"/>
    <mergeCell ref="O3:T3"/>
    <mergeCell ref="O6:V6"/>
    <mergeCell ref="J9:J10"/>
    <mergeCell ref="J12:J13"/>
    <mergeCell ref="J15:J16"/>
    <mergeCell ref="J18:J19"/>
    <mergeCell ref="O7:V7"/>
    <mergeCell ref="O8:V8"/>
  </mergeCells>
  <phoneticPr fontId="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AMIR SOHEL SARKAR MASUM</cp:lastModifiedBy>
  <cp:revision/>
  <dcterms:created xsi:type="dcterms:W3CDTF">2026-10-07T14:48:18Z</dcterms:created>
  <dcterms:modified xsi:type="dcterms:W3CDTF">2026-10-13T05:48:07Z</dcterms:modified>
  <cp:category/>
  <cp:contentStatus/>
</cp:coreProperties>
</file>