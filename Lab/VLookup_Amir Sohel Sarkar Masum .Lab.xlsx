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s\Downloads\"/>
    </mc:Choice>
  </mc:AlternateContent>
  <xr:revisionPtr revIDLastSave="0" documentId="8_{634E2088-FC4D-4BC9-9D88-6B7057B884A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RODUCT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" i="2" l="1"/>
  <c r="F10" i="2"/>
  <c r="G10" i="2"/>
  <c r="D9" i="2"/>
  <c r="G3" i="2"/>
  <c r="G4" i="2"/>
  <c r="G5" i="2"/>
  <c r="G6" i="2"/>
  <c r="G7" i="2"/>
  <c r="G8" i="2"/>
  <c r="G9" i="2"/>
  <c r="G2" i="2"/>
  <c r="D3" i="1"/>
  <c r="D4" i="1"/>
  <c r="D5" i="1"/>
  <c r="D6" i="1"/>
  <c r="D7" i="1"/>
  <c r="D8" i="1"/>
  <c r="D2" i="1"/>
  <c r="F9" i="2"/>
  <c r="D3" i="2"/>
  <c r="E3" i="2" s="1"/>
  <c r="D4" i="2"/>
  <c r="E4" i="2" s="1"/>
  <c r="D5" i="2"/>
  <c r="E5" i="2" s="1"/>
  <c r="D6" i="2"/>
  <c r="E6" i="2" s="1"/>
  <c r="D7" i="2"/>
  <c r="E7" i="2" s="1"/>
  <c r="D8" i="2"/>
  <c r="F8" i="2"/>
  <c r="D2" i="2"/>
  <c r="H2" i="2" s="1"/>
  <c r="F3" i="2"/>
  <c r="F4" i="2"/>
  <c r="K4" i="2" s="1"/>
  <c r="F5" i="2"/>
  <c r="F6" i="2"/>
  <c r="F7" i="2"/>
  <c r="F2" i="2"/>
  <c r="K2" i="2" s="1"/>
  <c r="E10" i="2" l="1"/>
  <c r="H10" i="2"/>
  <c r="L3" i="2"/>
  <c r="K3" i="2"/>
  <c r="L5" i="2"/>
  <c r="K5" i="2"/>
  <c r="L6" i="2"/>
  <c r="K6" i="2"/>
  <c r="L7" i="2"/>
  <c r="K7" i="2"/>
  <c r="E9" i="2"/>
  <c r="L4" i="2" s="1"/>
  <c r="H9" i="2"/>
  <c r="H8" i="2"/>
  <c r="E8" i="2"/>
  <c r="E2" i="2"/>
  <c r="L2" i="2" s="1"/>
  <c r="H7" i="2"/>
  <c r="H6" i="2"/>
  <c r="H5" i="2"/>
  <c r="H4" i="2"/>
  <c r="H3" i="2"/>
  <c r="K16" i="2" l="1"/>
</calcChain>
</file>

<file path=xl/sharedStrings.xml><?xml version="1.0" encoding="utf-8"?>
<sst xmlns="http://schemas.openxmlformats.org/spreadsheetml/2006/main" count="51" uniqueCount="39">
  <si>
    <t>Product ID</t>
  </si>
  <si>
    <t>Product</t>
  </si>
  <si>
    <t>Price</t>
  </si>
  <si>
    <t>ProductA</t>
  </si>
  <si>
    <t>ProductB</t>
  </si>
  <si>
    <t>ProductC</t>
  </si>
  <si>
    <t>ProductD</t>
  </si>
  <si>
    <t>ProductE</t>
  </si>
  <si>
    <t>ProductF</t>
  </si>
  <si>
    <t>Order ID</t>
  </si>
  <si>
    <t>Quantity</t>
  </si>
  <si>
    <t>Total Price</t>
  </si>
  <si>
    <t>Product_Names</t>
  </si>
  <si>
    <t>Check_Exist</t>
  </si>
  <si>
    <t>Discounted Price</t>
  </si>
  <si>
    <t>ANSWER</t>
  </si>
  <si>
    <t>Q1</t>
  </si>
  <si>
    <t xml:space="preserve"> Use VLOOKUP to find the product names for each ProductID in the Orders worksheet. </t>
  </si>
  <si>
    <t>Q2</t>
  </si>
  <si>
    <t xml:space="preserve">Use VLOOKUP to find the price for each ProductID in the Orders worksheet, then calculate the TotalPrice by multiplying the Quantity by the Product Price. </t>
  </si>
  <si>
    <t>Q3</t>
  </si>
  <si>
    <t xml:space="preserve">Use VLOOKUP to check if there are any ProductIDs in the Orders worksheet that do not exist in the Products worksheet. </t>
  </si>
  <si>
    <t>Q4</t>
  </si>
  <si>
    <t>Assume a discount of 10% is given on all products. Use VLOOKUP to find the original price and then calculate the discounted price.</t>
  </si>
  <si>
    <t>Q5</t>
  </si>
  <si>
    <t xml:space="preserve">Use VLOOKUP to find the price for each ProductID and then calculate the order value. Find the maximum order value from the list. </t>
  </si>
  <si>
    <t>Q6</t>
  </si>
  <si>
    <t xml:space="preserve">Use VLOOKUP to find out which products from the Products worksheet have not been ordered. </t>
  </si>
  <si>
    <t>Q7</t>
  </si>
  <si>
    <t xml:space="preserve"> Use VLOOKUP to find the Product name and summarize the total quantity sold for each product.</t>
  </si>
  <si>
    <t>COLUMN F</t>
  </si>
  <si>
    <t>COLUMN D,E</t>
  </si>
  <si>
    <t>COLUMN G</t>
  </si>
  <si>
    <t>COLUMN H</t>
  </si>
  <si>
    <t>ProductG</t>
  </si>
  <si>
    <t>Order/Not Order</t>
  </si>
  <si>
    <t>Total Quantity</t>
  </si>
  <si>
    <t>COLUMN J</t>
  </si>
  <si>
    <t>PRODUCTS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</si>
</sst>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7"/>
      </left>
      <right/>
      <top/>
      <bottom style="thin">
        <color theme="7"/>
      </bottom>
      <diagonal/>
    </border>
    <border>
      <left/>
      <right/>
      <top/>
      <bottom style="thin">
        <color theme="7"/>
      </bottom>
      <diagonal/>
    </border>
    <border>
      <left/>
      <right style="thin">
        <color theme="7"/>
      </right>
      <top/>
      <bottom style="thin">
        <color theme="7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4" fillId="4" borderId="2" xfId="0" applyFont="1" applyFill="1" applyBorder="1"/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0" fontId="5" fillId="5" borderId="2" xfId="0" applyFont="1" applyFill="1" applyBorder="1"/>
    <xf numFmtId="0" fontId="0" fillId="6" borderId="2" xfId="0" applyFill="1" applyBorder="1"/>
    <xf numFmtId="0" fontId="0" fillId="7" borderId="2" xfId="0" applyFill="1" applyBorder="1"/>
    <xf numFmtId="0" fontId="0" fillId="0" borderId="2" xfId="0" applyBorder="1"/>
    <xf numFmtId="0" fontId="0" fillId="8" borderId="2" xfId="0" applyFill="1" applyBorder="1"/>
    <xf numFmtId="0" fontId="1" fillId="0" borderId="2" xfId="0" applyFont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0" fillId="9" borderId="2" xfId="0" applyFont="1" applyFill="1" applyBorder="1"/>
    <xf numFmtId="0" fontId="0" fillId="10" borderId="2" xfId="0" applyFill="1" applyBorder="1"/>
    <xf numFmtId="0" fontId="2" fillId="10" borderId="1" xfId="0" applyFont="1" applyFill="1" applyBorder="1" applyAlignment="1">
      <alignment horizontal="left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1" borderId="2" xfId="0" applyFill="1" applyBorder="1"/>
    <xf numFmtId="0" fontId="0" fillId="12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4" borderId="0" xfId="0" applyFill="1"/>
    <xf numFmtId="0" fontId="3" fillId="4" borderId="9" xfId="0" applyFont="1" applyFill="1" applyBorder="1"/>
    <xf numFmtId="0" fontId="3" fillId="4" borderId="10" xfId="0" applyFont="1" applyFill="1" applyBorder="1"/>
    <xf numFmtId="0" fontId="5" fillId="10" borderId="10" xfId="0" applyFont="1" applyFill="1" applyBorder="1"/>
    <xf numFmtId="0" fontId="1" fillId="9" borderId="10" xfId="0" applyFont="1" applyFill="1" applyBorder="1"/>
    <xf numFmtId="0" fontId="5" fillId="11" borderId="10" xfId="0" applyFont="1" applyFill="1" applyBorder="1"/>
    <xf numFmtId="0" fontId="5" fillId="12" borderId="11" xfId="0" applyFont="1" applyFill="1" applyBorder="1"/>
    <xf numFmtId="0" fontId="4" fillId="4" borderId="12" xfId="0" applyFont="1" applyFill="1" applyBorder="1"/>
    <xf numFmtId="0" fontId="0" fillId="12" borderId="13" xfId="0" applyFill="1" applyBorder="1"/>
    <xf numFmtId="0" fontId="4" fillId="4" borderId="14" xfId="0" applyFont="1" applyFill="1" applyBorder="1"/>
    <xf numFmtId="0" fontId="4" fillId="4" borderId="15" xfId="0" applyFont="1" applyFill="1" applyBorder="1"/>
    <xf numFmtId="0" fontId="0" fillId="10" borderId="15" xfId="0" applyFill="1" applyBorder="1"/>
    <xf numFmtId="0" fontId="0" fillId="9" borderId="15" xfId="0" applyFont="1" applyFill="1" applyBorder="1"/>
    <xf numFmtId="0" fontId="0" fillId="11" borderId="15" xfId="0" applyFill="1" applyBorder="1"/>
    <xf numFmtId="0" fontId="0" fillId="12" borderId="16" xfId="0" applyFill="1" applyBorder="1"/>
    <xf numFmtId="0" fontId="1" fillId="13" borderId="2" xfId="0" applyFont="1" applyFill="1" applyBorder="1" applyAlignment="1">
      <alignment horizontal="center" vertical="center"/>
    </xf>
    <xf numFmtId="0" fontId="1" fillId="0" borderId="9" xfId="0" applyFont="1" applyBorder="1"/>
    <xf numFmtId="0" fontId="1" fillId="8" borderId="10" xfId="0" applyFont="1" applyFill="1" applyBorder="1"/>
    <xf numFmtId="0" fontId="1" fillId="0" borderId="11" xfId="0" applyFont="1" applyBorder="1"/>
    <xf numFmtId="0" fontId="0" fillId="0" borderId="12" xfId="0" applyBorder="1"/>
    <xf numFmtId="0" fontId="0" fillId="13" borderId="13" xfId="0" applyFill="1" applyBorder="1"/>
    <xf numFmtId="0" fontId="0" fillId="0" borderId="14" xfId="0" applyBorder="1"/>
    <xf numFmtId="0" fontId="0" fillId="8" borderId="15" xfId="0" applyFill="1" applyBorder="1"/>
    <xf numFmtId="0" fontId="0" fillId="13" borderId="16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A13" sqref="A13:I13"/>
    </sheetView>
  </sheetViews>
  <sheetFormatPr defaultRowHeight="14.5" x14ac:dyDescent="0.35"/>
  <cols>
    <col min="1" max="1" width="12.90625" bestFit="1" customWidth="1"/>
    <col min="2" max="2" width="10.453125" bestFit="1" customWidth="1"/>
    <col min="4" max="4" width="17.36328125" bestFit="1" customWidth="1"/>
  </cols>
  <sheetData>
    <row r="1" spans="1:9" s="1" customFormat="1" x14ac:dyDescent="0.35">
      <c r="A1" s="12" t="s">
        <v>0</v>
      </c>
      <c r="B1" s="12" t="s">
        <v>1</v>
      </c>
      <c r="C1" s="12" t="s">
        <v>2</v>
      </c>
      <c r="D1" s="12" t="s">
        <v>35</v>
      </c>
    </row>
    <row r="2" spans="1:9" x14ac:dyDescent="0.35">
      <c r="A2" s="13">
        <v>101</v>
      </c>
      <c r="B2" s="13" t="s">
        <v>3</v>
      </c>
      <c r="C2" s="13">
        <v>120</v>
      </c>
      <c r="D2" s="14" t="str">
        <f>IF(ISNA(VLOOKUP(A2,ORDERS!$B$2:$B$9,2,FALSE)),"no","yes")</f>
        <v>yes</v>
      </c>
    </row>
    <row r="3" spans="1:9" x14ac:dyDescent="0.35">
      <c r="A3" s="15">
        <v>102</v>
      </c>
      <c r="B3" s="15" t="s">
        <v>4</v>
      </c>
      <c r="C3" s="15">
        <v>150</v>
      </c>
      <c r="D3" s="14" t="str">
        <f>IF(ISNA(VLOOKUP(A3,ORDERS!$B$2:$B$9,2,FALSE)),"no","yes")</f>
        <v>yes</v>
      </c>
    </row>
    <row r="4" spans="1:9" x14ac:dyDescent="0.35">
      <c r="A4" s="13">
        <v>103</v>
      </c>
      <c r="B4" s="13" t="s">
        <v>5</v>
      </c>
      <c r="C4" s="13">
        <v>200</v>
      </c>
      <c r="D4" s="14" t="str">
        <f>IF(ISNA(VLOOKUP(A4,ORDERS!$B$2:$B$9,2,FALSE)),"no","yes")</f>
        <v>yes</v>
      </c>
    </row>
    <row r="5" spans="1:9" x14ac:dyDescent="0.35">
      <c r="A5" s="15">
        <v>104</v>
      </c>
      <c r="B5" s="15" t="s">
        <v>6</v>
      </c>
      <c r="C5" s="15">
        <v>90</v>
      </c>
      <c r="D5" s="14" t="str">
        <f>IF(ISNA(VLOOKUP(A5,ORDERS!$B$2:$B$9,2,FALSE)),"no","yes")</f>
        <v>yes</v>
      </c>
    </row>
    <row r="6" spans="1:9" x14ac:dyDescent="0.35">
      <c r="A6" s="13">
        <v>105</v>
      </c>
      <c r="B6" s="13" t="s">
        <v>7</v>
      </c>
      <c r="C6" s="13">
        <v>220</v>
      </c>
      <c r="D6" s="14" t="str">
        <f>IF(ISNA(VLOOKUP(A6,ORDERS!$B$2:$B$9,2,FALSE)),"no","yes")</f>
        <v>yes</v>
      </c>
    </row>
    <row r="7" spans="1:9" x14ac:dyDescent="0.35">
      <c r="A7" s="15">
        <v>106</v>
      </c>
      <c r="B7" s="15" t="s">
        <v>8</v>
      </c>
      <c r="C7" s="15">
        <v>130</v>
      </c>
      <c r="D7" s="14" t="str">
        <f>IF(ISNA(VLOOKUP(A7,ORDERS!$B$2:$B$9,2,FALSE)),"no","yes")</f>
        <v>yes</v>
      </c>
    </row>
    <row r="8" spans="1:9" x14ac:dyDescent="0.35">
      <c r="A8" s="13">
        <v>107</v>
      </c>
      <c r="B8" s="13" t="s">
        <v>34</v>
      </c>
      <c r="C8" s="13">
        <v>150</v>
      </c>
      <c r="D8" s="14" t="str">
        <f>IF(ISNA(VLOOKUP(A8,ORDERS!$B$2:$B$9,2,FALSE)),"no","yes")</f>
        <v>no</v>
      </c>
    </row>
    <row r="9" spans="1:9" x14ac:dyDescent="0.35">
      <c r="A9" s="7"/>
      <c r="B9" s="8"/>
      <c r="C9" s="8"/>
      <c r="D9" s="9"/>
    </row>
    <row r="13" spans="1:9" x14ac:dyDescent="0.35">
      <c r="A13" s="17" t="s">
        <v>26</v>
      </c>
      <c r="B13" s="20" t="s">
        <v>27</v>
      </c>
      <c r="C13" s="21"/>
      <c r="D13" s="21"/>
      <c r="E13" s="21"/>
      <c r="F13" s="21"/>
      <c r="G13" s="21"/>
      <c r="H13" s="21"/>
      <c r="I13" s="22"/>
    </row>
  </sheetData>
  <mergeCells count="1">
    <mergeCell ref="B13:I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0D87-6BD8-4F92-8983-7634C2FE9F08}">
  <dimension ref="A1:L18"/>
  <sheetViews>
    <sheetView tabSelected="1" workbookViewId="0">
      <selection activeCell="L13" sqref="L13"/>
    </sheetView>
  </sheetViews>
  <sheetFormatPr defaultRowHeight="14.5" x14ac:dyDescent="0.35"/>
  <cols>
    <col min="1" max="1" width="9.90625" customWidth="1"/>
    <col min="2" max="2" width="11.81640625" customWidth="1"/>
    <col min="3" max="3" width="10.1796875" customWidth="1"/>
    <col min="4" max="4" width="9" customWidth="1"/>
    <col min="5" max="5" width="11.6328125" customWidth="1"/>
    <col min="6" max="6" width="16.36328125" customWidth="1"/>
    <col min="7" max="7" width="12.81640625" customWidth="1"/>
    <col min="8" max="8" width="16.90625" customWidth="1"/>
    <col min="9" max="9" width="15" bestFit="1" customWidth="1"/>
    <col min="10" max="10" width="13.08984375" bestFit="1" customWidth="1"/>
    <col min="11" max="11" width="12.90625" customWidth="1"/>
    <col min="12" max="12" width="10.26953125" customWidth="1"/>
    <col min="13" max="13" width="14.54296875" bestFit="1" customWidth="1"/>
    <col min="14" max="14" width="13.08984375" bestFit="1" customWidth="1"/>
    <col min="15" max="15" width="9.81640625" bestFit="1" customWidth="1"/>
  </cols>
  <sheetData>
    <row r="1" spans="1:12" s="1" customFormat="1" x14ac:dyDescent="0.35">
      <c r="A1" s="32" t="s">
        <v>9</v>
      </c>
      <c r="B1" s="33" t="s">
        <v>0</v>
      </c>
      <c r="C1" s="33" t="s">
        <v>10</v>
      </c>
      <c r="D1" s="34" t="s">
        <v>2</v>
      </c>
      <c r="E1" s="34" t="s">
        <v>11</v>
      </c>
      <c r="F1" s="35" t="s">
        <v>12</v>
      </c>
      <c r="G1" s="36" t="s">
        <v>13</v>
      </c>
      <c r="H1" s="37" t="s">
        <v>14</v>
      </c>
      <c r="J1" s="47" t="s">
        <v>12</v>
      </c>
      <c r="K1" s="48" t="s">
        <v>36</v>
      </c>
      <c r="L1" s="49" t="s">
        <v>11</v>
      </c>
    </row>
    <row r="2" spans="1:12" x14ac:dyDescent="0.35">
      <c r="A2" s="38">
        <v>1</v>
      </c>
      <c r="B2" s="3">
        <v>101</v>
      </c>
      <c r="C2" s="3">
        <v>2</v>
      </c>
      <c r="D2" s="25">
        <f>VLOOKUP(B2,PRODUCTS!$A$2:$D$9,3,FALSE)</f>
        <v>120</v>
      </c>
      <c r="E2" s="25">
        <f>C2*D2</f>
        <v>240</v>
      </c>
      <c r="F2" s="24" t="str">
        <f>VLOOKUP(B2,PRODUCTS!$A$2:$D$9,2,FALSE)</f>
        <v>ProductA</v>
      </c>
      <c r="G2" s="28" t="str">
        <f>IF(ISNA(VLOOKUP(B2,PRODUCTS!$A$2:$A$8,1,FALSE)),"Not Exist","Exist")</f>
        <v>Exist</v>
      </c>
      <c r="H2" s="39">
        <f>(D2-(D2*10%))</f>
        <v>108</v>
      </c>
      <c r="J2" s="50" t="s">
        <v>3</v>
      </c>
      <c r="K2" s="16">
        <f t="shared" ref="K2:K7" si="0">SUMIF($F$2:$F$9,F2,$C$2:$C$10)</f>
        <v>9</v>
      </c>
      <c r="L2" s="51">
        <f t="shared" ref="L2:L7" si="1">SUMIF($F$2:$F$9,F2,$E$2:$E$9)</f>
        <v>1080</v>
      </c>
    </row>
    <row r="3" spans="1:12" x14ac:dyDescent="0.35">
      <c r="A3" s="38">
        <v>2</v>
      </c>
      <c r="B3" s="3">
        <v>103</v>
      </c>
      <c r="C3" s="3">
        <v>1</v>
      </c>
      <c r="D3" s="25">
        <f>VLOOKUP(B3,PRODUCTS!$A$2:$D$9,3,FALSE)</f>
        <v>200</v>
      </c>
      <c r="E3" s="25">
        <f t="shared" ref="E3:E9" si="2">C3*D3</f>
        <v>200</v>
      </c>
      <c r="F3" s="24" t="str">
        <f>VLOOKUP(B3,PRODUCTS!$A$2:$D$9,2,FALSE)</f>
        <v>ProductC</v>
      </c>
      <c r="G3" s="28" t="str">
        <f>IF(ISNA(VLOOKUP(B3,PRODUCTS!$A$2:$A$8,1,FALSE)),"Not Exist","Exist")</f>
        <v>Exist</v>
      </c>
      <c r="H3" s="39">
        <f t="shared" ref="H3:H8" si="3">(D3-(D3*10%))</f>
        <v>180</v>
      </c>
      <c r="J3" s="50" t="s">
        <v>5</v>
      </c>
      <c r="K3" s="16">
        <f t="shared" si="0"/>
        <v>1</v>
      </c>
      <c r="L3" s="51">
        <f t="shared" si="1"/>
        <v>200</v>
      </c>
    </row>
    <row r="4" spans="1:12" x14ac:dyDescent="0.35">
      <c r="A4" s="38">
        <v>3</v>
      </c>
      <c r="B4" s="3">
        <v>105</v>
      </c>
      <c r="C4" s="3">
        <v>4</v>
      </c>
      <c r="D4" s="25">
        <f>VLOOKUP(B4,PRODUCTS!$A$2:$D$9,3,FALSE)</f>
        <v>220</v>
      </c>
      <c r="E4" s="25">
        <f t="shared" si="2"/>
        <v>880</v>
      </c>
      <c r="F4" s="24" t="str">
        <f>VLOOKUP(B4,PRODUCTS!$A$2:$D$9,2,FALSE)</f>
        <v>ProductE</v>
      </c>
      <c r="G4" s="28" t="str">
        <f>IF(ISNA(VLOOKUP(B4,PRODUCTS!$A$2:$A$8,1,FALSE)),"Not Exist","Exist")</f>
        <v>Exist</v>
      </c>
      <c r="H4" s="39">
        <f t="shared" si="3"/>
        <v>198</v>
      </c>
      <c r="J4" s="50" t="s">
        <v>7</v>
      </c>
      <c r="K4" s="16">
        <f t="shared" si="0"/>
        <v>10</v>
      </c>
      <c r="L4" s="51">
        <f t="shared" si="1"/>
        <v>2200</v>
      </c>
    </row>
    <row r="5" spans="1:12" x14ac:dyDescent="0.35">
      <c r="A5" s="38">
        <v>4</v>
      </c>
      <c r="B5" s="3">
        <v>106</v>
      </c>
      <c r="C5" s="3">
        <v>3</v>
      </c>
      <c r="D5" s="25">
        <f>VLOOKUP(B5,PRODUCTS!$A$2:$D$9,3,FALSE)</f>
        <v>130</v>
      </c>
      <c r="E5" s="25">
        <f t="shared" si="2"/>
        <v>390</v>
      </c>
      <c r="F5" s="24" t="str">
        <f>VLOOKUP(B5,PRODUCTS!$A$2:$D$9,2,FALSE)</f>
        <v>ProductF</v>
      </c>
      <c r="G5" s="28" t="str">
        <f>IF(ISNA(VLOOKUP(B5,PRODUCTS!$A$2:$A$8,1,FALSE)),"Not Exist","Exist")</f>
        <v>Exist</v>
      </c>
      <c r="H5" s="39">
        <f t="shared" si="3"/>
        <v>117</v>
      </c>
      <c r="J5" s="50" t="s">
        <v>8</v>
      </c>
      <c r="K5" s="16">
        <f t="shared" si="0"/>
        <v>3</v>
      </c>
      <c r="L5" s="51">
        <f t="shared" si="1"/>
        <v>390</v>
      </c>
    </row>
    <row r="6" spans="1:12" x14ac:dyDescent="0.35">
      <c r="A6" s="38">
        <v>5</v>
      </c>
      <c r="B6" s="3">
        <v>102</v>
      </c>
      <c r="C6" s="3">
        <v>5</v>
      </c>
      <c r="D6" s="25">
        <f>VLOOKUP(B6,PRODUCTS!$A$2:$D$9,3,FALSE)</f>
        <v>150</v>
      </c>
      <c r="E6" s="25">
        <f t="shared" si="2"/>
        <v>750</v>
      </c>
      <c r="F6" s="24" t="str">
        <f>VLOOKUP(B6,PRODUCTS!$A$2:$D$9,2,FALSE)</f>
        <v>ProductB</v>
      </c>
      <c r="G6" s="28" t="str">
        <f>IF(ISNA(VLOOKUP(B6,PRODUCTS!$A$2:$A$8,1,FALSE)),"Not Exist","Exist")</f>
        <v>Exist</v>
      </c>
      <c r="H6" s="39">
        <f t="shared" si="3"/>
        <v>135</v>
      </c>
      <c r="J6" s="50" t="s">
        <v>4</v>
      </c>
      <c r="K6" s="16">
        <f t="shared" si="0"/>
        <v>5</v>
      </c>
      <c r="L6" s="51">
        <f t="shared" si="1"/>
        <v>750</v>
      </c>
    </row>
    <row r="7" spans="1:12" ht="15" thickBot="1" x14ac:dyDescent="0.4">
      <c r="A7" s="38">
        <v>6</v>
      </c>
      <c r="B7" s="3">
        <v>104</v>
      </c>
      <c r="C7" s="3">
        <v>6</v>
      </c>
      <c r="D7" s="25">
        <f>VLOOKUP(B7,PRODUCTS!$A$2:$D$9,3,FALSE)</f>
        <v>90</v>
      </c>
      <c r="E7" s="25">
        <f t="shared" si="2"/>
        <v>540</v>
      </c>
      <c r="F7" s="24" t="str">
        <f>VLOOKUP(B7,PRODUCTS!$A$2:$D$9,2,FALSE)</f>
        <v>ProductD</v>
      </c>
      <c r="G7" s="28" t="str">
        <f>IF(ISNA(VLOOKUP(B7,PRODUCTS!$A$2:$A$8,1,FALSE)),"Not Exist","Exist")</f>
        <v>Exist</v>
      </c>
      <c r="H7" s="39">
        <f t="shared" si="3"/>
        <v>81</v>
      </c>
      <c r="J7" s="52" t="s">
        <v>6</v>
      </c>
      <c r="K7" s="53">
        <f t="shared" si="0"/>
        <v>6</v>
      </c>
      <c r="L7" s="54">
        <f t="shared" si="1"/>
        <v>540</v>
      </c>
    </row>
    <row r="8" spans="1:12" x14ac:dyDescent="0.35">
      <c r="A8" s="38">
        <v>7</v>
      </c>
      <c r="B8" s="3">
        <v>101</v>
      </c>
      <c r="C8" s="3">
        <v>7</v>
      </c>
      <c r="D8" s="25">
        <f>VLOOKUP(B8,PRODUCTS!$A$2:$D$9,3,FALSE)</f>
        <v>120</v>
      </c>
      <c r="E8" s="25">
        <f t="shared" si="2"/>
        <v>840</v>
      </c>
      <c r="F8" s="24" t="str">
        <f>VLOOKUP(B8,PRODUCTS!$A$2:$D$9,2,FALSE)</f>
        <v>ProductA</v>
      </c>
      <c r="G8" s="28" t="str">
        <f>IF(ISNA(VLOOKUP(B8,PRODUCTS!$A$2:$A$8,1,FALSE)),"Not Exist","Exist")</f>
        <v>Exist</v>
      </c>
      <c r="H8" s="39">
        <f t="shared" si="3"/>
        <v>108</v>
      </c>
      <c r="L8" s="31"/>
    </row>
    <row r="9" spans="1:12" x14ac:dyDescent="0.35">
      <c r="A9" s="38">
        <v>8</v>
      </c>
      <c r="B9" s="3">
        <v>105</v>
      </c>
      <c r="C9" s="3">
        <v>6</v>
      </c>
      <c r="D9" s="25">
        <f>VLOOKUP(B9,PRODUCTS!$A$2:$D$9,3,FALSE)</f>
        <v>220</v>
      </c>
      <c r="E9" s="25">
        <f t="shared" si="2"/>
        <v>1320</v>
      </c>
      <c r="F9" s="24" t="str">
        <f>VLOOKUP(B9,PRODUCTS!$A$2:$D$9,2,FALSE)</f>
        <v>ProductE</v>
      </c>
      <c r="G9" s="28" t="str">
        <f>IF(ISNA(VLOOKUP(B9,PRODUCTS!$A$2:$A$8,1,FALSE)),"Not Exist","Exist")</f>
        <v>Exist</v>
      </c>
      <c r="H9" s="39">
        <f t="shared" ref="H9" si="4">(D9-(D9*10%))</f>
        <v>198</v>
      </c>
    </row>
    <row r="10" spans="1:12" ht="15" thickBot="1" x14ac:dyDescent="0.4">
      <c r="A10" s="40">
        <v>9</v>
      </c>
      <c r="B10" s="41">
        <v>1001</v>
      </c>
      <c r="C10" s="41">
        <v>2</v>
      </c>
      <c r="D10" s="42" t="e">
        <f>VLOOKUP(B10,PRODUCTS!$A$2:$D$9,3,FALSE)</f>
        <v>#N/A</v>
      </c>
      <c r="E10" s="42" t="e">
        <f t="shared" ref="E10" si="5">C10*D10</f>
        <v>#N/A</v>
      </c>
      <c r="F10" s="43" t="e">
        <f>VLOOKUP(B10,PRODUCTS!$A$2:$D$9,2,FALSE)</f>
        <v>#N/A</v>
      </c>
      <c r="G10" s="44" t="str">
        <f>IF(ISNA(VLOOKUP(B10,PRODUCTS!$A$2:$A$8,1,FALSE)),"Not Exist","Exist")</f>
        <v>Not Exist</v>
      </c>
      <c r="H10" s="45" t="e">
        <f t="shared" ref="H10" si="6">(D10-(D10*10%))</f>
        <v>#N/A</v>
      </c>
    </row>
    <row r="11" spans="1:12" x14ac:dyDescent="0.35">
      <c r="K11" s="5" t="s">
        <v>15</v>
      </c>
    </row>
    <row r="12" spans="1:12" x14ac:dyDescent="0.35">
      <c r="A12" s="10" t="s">
        <v>16</v>
      </c>
      <c r="B12" s="23" t="s">
        <v>17</v>
      </c>
      <c r="C12" s="23"/>
      <c r="D12" s="23"/>
      <c r="E12" s="23"/>
      <c r="F12" s="23"/>
      <c r="G12" s="23"/>
      <c r="H12" s="23"/>
      <c r="I12" s="23"/>
      <c r="K12" s="4" t="s">
        <v>30</v>
      </c>
    </row>
    <row r="13" spans="1:12" ht="35.25" customHeight="1" x14ac:dyDescent="0.35">
      <c r="A13" s="10" t="s">
        <v>18</v>
      </c>
      <c r="B13" s="26" t="s">
        <v>19</v>
      </c>
      <c r="C13" s="26"/>
      <c r="D13" s="26"/>
      <c r="E13" s="26"/>
      <c r="F13" s="26"/>
      <c r="G13" s="26"/>
      <c r="H13" s="26"/>
      <c r="I13" s="26"/>
      <c r="K13" s="4" t="s">
        <v>31</v>
      </c>
    </row>
    <row r="14" spans="1:12" s="2" customFormat="1" ht="30.75" customHeight="1" x14ac:dyDescent="0.35">
      <c r="A14" s="11" t="s">
        <v>20</v>
      </c>
      <c r="B14" s="27" t="s">
        <v>21</v>
      </c>
      <c r="C14" s="27"/>
      <c r="D14" s="27"/>
      <c r="E14" s="27"/>
      <c r="F14" s="27"/>
      <c r="G14" s="27"/>
      <c r="H14" s="27"/>
      <c r="I14" s="27"/>
      <c r="J14"/>
      <c r="K14" s="6" t="s">
        <v>32</v>
      </c>
    </row>
    <row r="15" spans="1:12" ht="30" customHeight="1" x14ac:dyDescent="0.35">
      <c r="A15" s="10" t="s">
        <v>22</v>
      </c>
      <c r="B15" s="29" t="s">
        <v>23</v>
      </c>
      <c r="C15" s="29"/>
      <c r="D15" s="29"/>
      <c r="E15" s="29"/>
      <c r="F15" s="29"/>
      <c r="G15" s="29"/>
      <c r="H15" s="29"/>
      <c r="I15" s="29"/>
      <c r="K15" s="4" t="s">
        <v>33</v>
      </c>
    </row>
    <row r="16" spans="1:12" ht="27" customHeight="1" x14ac:dyDescent="0.35">
      <c r="A16" s="10" t="s">
        <v>24</v>
      </c>
      <c r="B16" s="30" t="s">
        <v>25</v>
      </c>
      <c r="C16" s="30"/>
      <c r="D16" s="30"/>
      <c r="E16" s="30"/>
      <c r="F16" s="30"/>
      <c r="G16" s="30"/>
      <c r="H16" s="30"/>
      <c r="I16" s="30"/>
      <c r="K16" s="46">
        <f>MAX(L2:L7)</f>
        <v>2200</v>
      </c>
    </row>
    <row r="17" spans="1:11" ht="29" x14ac:dyDescent="0.35">
      <c r="A17" s="17" t="s">
        <v>26</v>
      </c>
      <c r="B17" s="20" t="s">
        <v>27</v>
      </c>
      <c r="C17" s="21"/>
      <c r="D17" s="21"/>
      <c r="E17" s="21"/>
      <c r="F17" s="21"/>
      <c r="G17" s="21"/>
      <c r="H17" s="21"/>
      <c r="I17" s="22"/>
      <c r="K17" s="18" t="s">
        <v>38</v>
      </c>
    </row>
    <row r="18" spans="1:11" x14ac:dyDescent="0.35">
      <c r="A18" s="10" t="s">
        <v>28</v>
      </c>
      <c r="B18" s="19" t="s">
        <v>29</v>
      </c>
      <c r="C18" s="19"/>
      <c r="D18" s="19"/>
      <c r="E18" s="19"/>
      <c r="F18" s="19"/>
      <c r="G18" s="19"/>
      <c r="H18" s="19"/>
      <c r="I18" s="19"/>
      <c r="K18" s="4" t="s">
        <v>37</v>
      </c>
    </row>
  </sheetData>
  <mergeCells count="7">
    <mergeCell ref="B18:I18"/>
    <mergeCell ref="B12:I12"/>
    <mergeCell ref="B13:I13"/>
    <mergeCell ref="B14:I14"/>
    <mergeCell ref="B15:I15"/>
    <mergeCell ref="B16:I16"/>
    <mergeCell ref="B17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AMIR SOHEL SARKAR MASUM</dc:creator>
  <cp:keywords/>
  <dc:description/>
  <cp:lastModifiedBy>AMIR SOHEL SARKAR MASUM</cp:lastModifiedBy>
  <cp:revision/>
  <dcterms:created xsi:type="dcterms:W3CDTF">2026-10-07T07:08:38Z</dcterms:created>
  <dcterms:modified xsi:type="dcterms:W3CDTF">2026-10-12T05:13:10Z</dcterms:modified>
  <cp:category/>
  <cp:contentStatus/>
</cp:coreProperties>
</file>