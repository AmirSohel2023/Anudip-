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13_ncr:1_{B2915790-8830-46CE-9D3A-9586149AF64D}" xr6:coauthVersionLast="47" xr6:coauthVersionMax="47" xr10:uidLastSave="{00000000-0000-0000-0000-000000000000}"/>
  <bookViews>
    <workbookView xWindow="-110" yWindow="-110" windowWidth="19420" windowHeight="11500" xr2:uid="{413936BC-C2B5-4342-8A14-50D2F87C9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M3" i="1"/>
  <c r="M4" i="1"/>
  <c r="M5" i="1"/>
  <c r="M6" i="1"/>
  <c r="M7" i="1"/>
  <c r="M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7" i="1"/>
  <c r="H3" i="1"/>
  <c r="H4" i="1"/>
  <c r="H5" i="1"/>
  <c r="H6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<sst xmlns="http://schemas.openxmlformats.org/spreadsheetml/2006/main" count="34" uniqueCount="32">
  <si>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</si>
  <si>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</si>
  <si>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 xml:space="preserve">Sales </t>
  </si>
  <si>
    <t>Target</t>
  </si>
  <si>
    <t xml:space="preserve">Region </t>
  </si>
  <si>
    <t>Product A</t>
  </si>
  <si>
    <t>Product B</t>
  </si>
  <si>
    <t>Product C</t>
  </si>
  <si>
    <t>Product D</t>
  </si>
  <si>
    <t>Product F</t>
  </si>
  <si>
    <t>Product E</t>
  </si>
  <si>
    <t xml:space="preserve">North </t>
  </si>
  <si>
    <t>South</t>
  </si>
  <si>
    <t>East</t>
  </si>
  <si>
    <t xml:space="preserve">West </t>
  </si>
  <si>
    <t xml:space="preserve">1. Use the IF function to evaluate whether each product met its sales target. </t>
  </si>
  <si>
    <t xml:space="preserve">2. Use the IF function to determine if a product is eligible for a regional bonus. Products in the "North" region with sales over 200 are eligible. </t>
  </si>
  <si>
    <t xml:space="preserve">3. Use nested IF functions to assign a commission rate based on sales. Sales &gt;= 200 get a 10% commission, sales &gt;= 150 get a 7% commission, and others get a 5% commission. </t>
  </si>
  <si>
    <t xml:space="preserve">4. Use the IF function to calculate a bonus amount. If sales met or exceeded the target, the bonus is 10% of the sales; otherwise, it's 5%. </t>
  </si>
  <si>
    <t xml:space="preserve">5. Use the IF function to categorize sales performance as "Excellent" (&gt;=200), "Good" (&gt;=150), or "Needs Improvement" (&lt;150). </t>
  </si>
  <si>
    <t xml:space="preserve">6. Use the IF function to assign a price tier based on the sales value. "High" for sales &gt; 200, "Medium" for sales between 100 and 200, and "Low" for sales &lt; 100. </t>
  </si>
  <si>
    <t>7. Use the IF function to calculate the year-end bonus. If sales &gt;= 150 and region is "North", the bonus is $500, otherwise, it's $300.</t>
  </si>
  <si>
    <t xml:space="preserve">8. Use the IF function to mark high performers. A product is a high performer if its sales are in the top 25% of all sales. </t>
  </si>
  <si>
    <t>Met Sales Target</t>
  </si>
  <si>
    <t>Bonus Eligibility</t>
  </si>
  <si>
    <t xml:space="preserve">Commission Rate % </t>
  </si>
  <si>
    <t>Bonus Amount</t>
  </si>
  <si>
    <t>Sales Performance</t>
  </si>
  <si>
    <t>Price Tier</t>
  </si>
  <si>
    <t>Year-End Bonus</t>
  </si>
  <si>
    <t>25% High Performer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</si>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</sst>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1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AAB1-D93A-4B1A-86D8-8E81BF7CA292}">
  <dimension ref="A1:M20"/>
  <sheetViews>
    <sheetView tabSelected="1" workbookViewId="0">
      <selection activeCell="L23" sqref="L23"/>
    </sheetView>
  </sheetViews>
  <sheetFormatPr defaultRowHeight="14.5" x14ac:dyDescent="0.35"/>
  <cols>
    <col min="1" max="1" width="9.6328125" customWidth="1"/>
    <col min="2" max="2" width="10.6328125" customWidth="1"/>
    <col min="4" max="5" width="7.7265625" customWidth="1"/>
    <col min="6" max="6" width="15.26953125" customWidth="1"/>
    <col min="7" max="7" width="14.90625" customWidth="1"/>
    <col min="8" max="8" width="17.26953125" customWidth="1"/>
    <col min="9" max="9" width="13.08984375" customWidth="1"/>
    <col min="10" max="10" width="17.90625" customWidth="1"/>
    <col min="12" max="12" width="13.6328125" customWidth="1"/>
    <col min="13" max="13" width="17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23</v>
      </c>
      <c r="G1" s="4" t="s">
        <v>24</v>
      </c>
      <c r="H1" s="4" t="s">
        <v>25</v>
      </c>
      <c r="I1" s="4" t="s">
        <v>26</v>
      </c>
      <c r="J1" s="5" t="s">
        <v>27</v>
      </c>
      <c r="K1" s="4" t="s">
        <v>28</v>
      </c>
      <c r="L1" s="4" t="s">
        <v>29</v>
      </c>
      <c r="M1" s="4" t="s">
        <v>30</v>
      </c>
    </row>
    <row r="2" spans="1:13" x14ac:dyDescent="0.35">
      <c r="A2" s="2">
        <v>101</v>
      </c>
      <c r="B2" s="3" t="s">
        <v>5</v>
      </c>
      <c r="C2" s="2">
        <v>120</v>
      </c>
      <c r="D2" s="2">
        <v>150</v>
      </c>
      <c r="E2" s="3" t="s">
        <v>11</v>
      </c>
      <c r="F2" s="13" t="str">
        <f>IF(C2&gt;=D2,"Met","Not Met")</f>
        <v>Not Met</v>
      </c>
      <c r="G2" s="6" t="str">
        <f>IF(AND(E2="North",C2&gt;200),"Eligible","Not Eligible")</f>
        <v>Not Eligible</v>
      </c>
      <c r="H2" s="7">
        <f>IF(C2&gt;=200,10%,IF(C2&gt;=150,7%,5%))*100</f>
        <v>5</v>
      </c>
      <c r="I2" s="8">
        <f>IF(C2&gt;=D2,C2*10%,C2*5%)</f>
        <v>6</v>
      </c>
      <c r="J2" s="9" t="str">
        <f>IF(C2&gt;=200,"Excellent",IF(C2&gt;=150,"Good","Needs Improvement"))</f>
        <v>Needs Improvement</v>
      </c>
      <c r="K2" s="10" t="str">
        <f>IF(C2&gt;200,"High",IF(C2&gt;=100,"Medium","Low"))</f>
        <v>Medium</v>
      </c>
      <c r="L2" s="11">
        <f>IF(AND(C2&gt;=150,E2="North"),500,300)</f>
        <v>300</v>
      </c>
      <c r="M2" s="12" t="str">
        <f>IF(C2&gt;=_xlfn.PERCENTILE.INC($C$2:$C$7,75%),"High Performer","Not High Performer")</f>
        <v>Not High Performer</v>
      </c>
    </row>
    <row r="3" spans="1:13" x14ac:dyDescent="0.35">
      <c r="A3" s="2">
        <v>102</v>
      </c>
      <c r="B3" s="3" t="s">
        <v>6</v>
      </c>
      <c r="C3" s="2">
        <v>150</v>
      </c>
      <c r="D3" s="2">
        <v>140</v>
      </c>
      <c r="E3" s="3" t="s">
        <v>12</v>
      </c>
      <c r="F3" s="13" t="str">
        <f t="shared" ref="F3:F7" si="0">IF(C3&gt;=D3,"Met","Not Met")</f>
        <v>Met</v>
      </c>
      <c r="G3" s="6" t="str">
        <f t="shared" ref="G3:G7" si="1">IF(AND(E3="North",C3&gt;200),"Eligible","Not Eligible")</f>
        <v>Not Eligible</v>
      </c>
      <c r="H3" s="7">
        <f t="shared" ref="H3:H6" si="2">IF(C3&gt;=200,10%,IF(C3&gt;=150,7%,5%))*100</f>
        <v>7.0000000000000009</v>
      </c>
      <c r="I3" s="8">
        <f t="shared" ref="I3:I7" si="3">IF(C3&gt;=D3,C3*10%,C3*5%)</f>
        <v>15</v>
      </c>
      <c r="J3" s="9" t="str">
        <f t="shared" ref="J3:J7" si="4">IF(C3&gt;=200,"Excellent",IF(C3&gt;=150,"Good","Needs Improvement"))</f>
        <v>Good</v>
      </c>
      <c r="K3" s="10" t="str">
        <f t="shared" ref="K3:K7" si="5">IF(C3&gt;200,"High",IF(C3&gt;=100,"Medium","Low"))</f>
        <v>Medium</v>
      </c>
      <c r="L3" s="11">
        <f t="shared" ref="L3:L7" si="6">IF(AND(C3&gt;=150,E3="North"),500,300)</f>
        <v>300</v>
      </c>
      <c r="M3" s="12" t="str">
        <f t="shared" ref="M3:M7" si="7">IF(C3&gt;=_xlfn.PERCENTILE.INC($C$2:$C$7,75%),"High Performer","Not High Performer")</f>
        <v>Not High Performer</v>
      </c>
    </row>
    <row r="4" spans="1:13" x14ac:dyDescent="0.35">
      <c r="A4" s="2">
        <v>103</v>
      </c>
      <c r="B4" s="3" t="s">
        <v>7</v>
      </c>
      <c r="C4" s="2">
        <v>200</v>
      </c>
      <c r="D4" s="2">
        <v>200</v>
      </c>
      <c r="E4" s="3" t="s">
        <v>13</v>
      </c>
      <c r="F4" s="13" t="str">
        <f t="shared" si="0"/>
        <v>Met</v>
      </c>
      <c r="G4" s="6" t="str">
        <f t="shared" si="1"/>
        <v>Not Eligible</v>
      </c>
      <c r="H4" s="7">
        <f t="shared" si="2"/>
        <v>10</v>
      </c>
      <c r="I4" s="8">
        <f t="shared" si="3"/>
        <v>20</v>
      </c>
      <c r="J4" s="9" t="str">
        <f t="shared" si="4"/>
        <v>Excellent</v>
      </c>
      <c r="K4" s="10" t="str">
        <f t="shared" si="5"/>
        <v>Medium</v>
      </c>
      <c r="L4" s="11">
        <f t="shared" si="6"/>
        <v>300</v>
      </c>
      <c r="M4" s="12" t="str">
        <f t="shared" si="7"/>
        <v>High Performer</v>
      </c>
    </row>
    <row r="5" spans="1:13" x14ac:dyDescent="0.35">
      <c r="A5" s="2">
        <v>104</v>
      </c>
      <c r="B5" s="3" t="s">
        <v>8</v>
      </c>
      <c r="C5" s="2">
        <v>90</v>
      </c>
      <c r="D5" s="2">
        <v>100</v>
      </c>
      <c r="E5" s="3" t="s">
        <v>14</v>
      </c>
      <c r="F5" s="13" t="str">
        <f t="shared" si="0"/>
        <v>Not Met</v>
      </c>
      <c r="G5" s="6" t="str">
        <f t="shared" si="1"/>
        <v>Not Eligible</v>
      </c>
      <c r="H5" s="7">
        <f t="shared" si="2"/>
        <v>5</v>
      </c>
      <c r="I5" s="8">
        <f t="shared" si="3"/>
        <v>4.5</v>
      </c>
      <c r="J5" s="9" t="str">
        <f t="shared" si="4"/>
        <v>Needs Improvement</v>
      </c>
      <c r="K5" s="10" t="str">
        <f t="shared" si="5"/>
        <v>Low</v>
      </c>
      <c r="L5" s="11">
        <f t="shared" si="6"/>
        <v>300</v>
      </c>
      <c r="M5" s="12" t="str">
        <f t="shared" si="7"/>
        <v>Not High Performer</v>
      </c>
    </row>
    <row r="6" spans="1:13" x14ac:dyDescent="0.35">
      <c r="A6" s="2">
        <v>105</v>
      </c>
      <c r="B6" s="3" t="s">
        <v>10</v>
      </c>
      <c r="C6" s="2">
        <v>220</v>
      </c>
      <c r="D6" s="2">
        <v>210</v>
      </c>
      <c r="E6" s="3" t="s">
        <v>11</v>
      </c>
      <c r="F6" s="13" t="str">
        <f t="shared" si="0"/>
        <v>Met</v>
      </c>
      <c r="G6" s="6" t="str">
        <f t="shared" si="1"/>
        <v>Not Eligible</v>
      </c>
      <c r="H6" s="7">
        <f t="shared" si="2"/>
        <v>10</v>
      </c>
      <c r="I6" s="8">
        <f t="shared" si="3"/>
        <v>22</v>
      </c>
      <c r="J6" s="9" t="str">
        <f t="shared" si="4"/>
        <v>Excellent</v>
      </c>
      <c r="K6" s="10" t="str">
        <f t="shared" si="5"/>
        <v>High</v>
      </c>
      <c r="L6" s="11">
        <f t="shared" si="6"/>
        <v>300</v>
      </c>
      <c r="M6" s="12" t="str">
        <f t="shared" si="7"/>
        <v>High Performer</v>
      </c>
    </row>
    <row r="7" spans="1:13" x14ac:dyDescent="0.35">
      <c r="A7" s="2">
        <v>106</v>
      </c>
      <c r="B7" s="3" t="s">
        <v>9</v>
      </c>
      <c r="C7" s="2">
        <v>130</v>
      </c>
      <c r="D7" s="2">
        <v>160</v>
      </c>
      <c r="E7" s="3" t="s">
        <v>12</v>
      </c>
      <c r="F7" s="13" t="str">
        <f t="shared" si="0"/>
        <v>Not Met</v>
      </c>
      <c r="G7" s="6" t="str">
        <f t="shared" si="1"/>
        <v>Not Eligible</v>
      </c>
      <c r="H7" s="7">
        <f>IF(C7&gt;=200,10%,IF(C7&gt;=150,7%,5%))*100</f>
        <v>5</v>
      </c>
      <c r="I7" s="8">
        <f t="shared" si="3"/>
        <v>6.5</v>
      </c>
      <c r="J7" s="9" t="str">
        <f t="shared" si="4"/>
        <v>Needs Improvement</v>
      </c>
      <c r="K7" s="10" t="str">
        <f t="shared" si="5"/>
        <v>Medium</v>
      </c>
      <c r="L7" s="11">
        <f t="shared" si="6"/>
        <v>300</v>
      </c>
      <c r="M7" s="12" t="str">
        <f t="shared" si="7"/>
        <v>Not High Performer</v>
      </c>
    </row>
    <row r="10" spans="1:13" ht="15" thickBot="1" x14ac:dyDescent="0.4"/>
    <row r="11" spans="1:13" x14ac:dyDescent="0.35">
      <c r="B11" s="22" t="s">
        <v>31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</row>
    <row r="12" spans="1:13" x14ac:dyDescent="0.35">
      <c r="B12" s="16" t="s">
        <v>15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</row>
    <row r="13" spans="1:13" x14ac:dyDescent="0.35">
      <c r="B13" s="16" t="s">
        <v>16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13" x14ac:dyDescent="0.35">
      <c r="B14" s="16" t="s">
        <v>17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spans="1:13" x14ac:dyDescent="0.35">
      <c r="B15" s="16" t="s">
        <v>18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</row>
    <row r="16" spans="1:13" x14ac:dyDescent="0.35">
      <c r="B16" s="16" t="s">
        <v>19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</row>
    <row r="17" spans="2:13" x14ac:dyDescent="0.35">
      <c r="B17" s="16" t="s">
        <v>20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</row>
    <row r="18" spans="2:13" x14ac:dyDescent="0.35">
      <c r="B18" s="16" t="s">
        <v>21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</row>
    <row r="19" spans="2:13" x14ac:dyDescent="0.35">
      <c r="B19" s="16" t="s">
        <v>22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</row>
    <row r="20" spans="2:13" ht="15" thickBot="1" x14ac:dyDescent="0.4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2026-09-30T04:04:28Z</dcterms:created>
  <dcterms:modified xsi:type="dcterms:W3CDTF">2026-09-30T07:03:24Z</dcterms:modified>
</cp:coreProperties>
</file>